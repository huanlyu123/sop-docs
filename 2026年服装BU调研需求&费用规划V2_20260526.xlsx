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总表" sheetId="1" r:id="rId1"/>
    <sheet name="单项成本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<sst xmlns="http://schemas.openxmlformats.org/spreadsheetml/2006/main" count="60" uniqueCount="58">
  <si>
    <t>2026 服装BU用户调研需求</t>
  </si>
  <si>
    <t>部门</t>
  </si>
  <si>
    <t>品牌</t>
  </si>
  <si>
    <t>总费用 CNY</t>
  </si>
  <si>
    <t>战规-首付款</t>
  </si>
  <si>
    <t>品牌-尾款</t>
  </si>
  <si>
    <t>2批</t>
  </si>
  <si>
    <t>EK新增</t>
  </si>
  <si>
    <t>序号</t>
  </si>
  <si>
    <t>项目</t>
  </si>
  <si>
    <t>项目描述</t>
  </si>
  <si>
    <t>总金额</t>
  </si>
  <si>
    <t>备注</t>
  </si>
  <si>
    <t>服装BU品牌中心</t>
  </si>
  <si>
    <t>战规部</t>
  </si>
  <si>
    <t>战规比例</t>
  </si>
  <si>
    <t>实际合同金额</t>
  </si>
  <si>
    <t>品牌1部</t>
  </si>
  <si>
    <t>CF（800样本）</t>
  </si>
  <si>
    <t>首付款</t>
  </si>
  <si>
    <t>COOFANDY/EKOUAER/AVIDLOVE品牌漏斗指数调研-2026年底</t>
  </si>
  <si>
    <t>品牌漏斗的指数年度追踪和对比</t>
  </si>
  <si>
    <t>3个品牌共30W</t>
  </si>
  <si>
    <r>
      <t xml:space="preserve">6品牌合同金额￥350400， 其中EK增加了￥14400（尾款）
*战规支付首款￥175200, </t>
    </r>
    <r>
      <rPr>
        <b/>
        <sz val="10"/>
        <color theme="1"/>
        <rFont val="宋体"/>
        <charset val="134"/>
        <scheme val="minor"/>
      </rPr>
      <t>品牌尾款￥175200（1部+2部）</t>
    </r>
  </si>
  <si>
    <t>AV（800样本）</t>
  </si>
  <si>
    <t>尾款</t>
  </si>
  <si>
    <t>ZG,AR,PS的品牌调研</t>
  </si>
  <si>
    <t>定量+定性，用户洞察、产品认知、营销活动、品牌指数、场景品类延展</t>
  </si>
  <si>
    <t>*50W/品牌</t>
  </si>
  <si>
    <t>PS（800样本）</t>
  </si>
  <si>
    <t>品牌核心场景&amp;品类延展（CF,AV,EK)</t>
  </si>
  <si>
    <t>CF/AV/EK:各2次问卷，共6次</t>
  </si>
  <si>
    <t>品牌2部</t>
  </si>
  <si>
    <t>ZG（800样本）</t>
  </si>
  <si>
    <t>竞品深度调研-专家访谈约</t>
  </si>
  <si>
    <t>如CF/EK/AV/AR/ZG/PS品牌线下， CF和EK中高端需求预计8人</t>
  </si>
  <si>
    <t>AR（800样本）</t>
  </si>
  <si>
    <t>日常定量问卷需求</t>
  </si>
  <si>
    <t>服装BU及品牌中心日常调研支持预计4次。
如6品牌线下渠道用户调研、 EK/CF中高端用户调研</t>
  </si>
  <si>
    <t>EK （1100样本）</t>
  </si>
  <si>
    <t>日常定性调研需求</t>
  </si>
  <si>
    <t>服装BU及品牌中心日常调研支持，每个品牌12组按需求支持定量调研。内部+外部。
如新品类/中高端用户调研</t>
  </si>
  <si>
    <t>15%的Buffer、招募难度
全年约72组，288人</t>
  </si>
  <si>
    <t>共计</t>
  </si>
  <si>
    <t>战规人力成本</t>
  </si>
  <si>
    <t>人员成本合计</t>
  </si>
  <si>
    <t>项目费用合计</t>
  </si>
  <si>
    <t>合计</t>
  </si>
  <si>
    <t>比去年高了：</t>
  </si>
  <si>
    <t>类型</t>
  </si>
  <si>
    <t>报价</t>
  </si>
  <si>
    <t>美元汇率7.1</t>
  </si>
  <si>
    <t>问卷-内部</t>
  </si>
  <si>
    <t>1000美国样本</t>
  </si>
  <si>
    <t>访谈-内部</t>
  </si>
  <si>
    <t>1组线上4人</t>
  </si>
  <si>
    <t>专家访谈</t>
  </si>
  <si>
    <t>每个专家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</si>
</sst>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&quot;￥&quot;#,##0_);[Red]\(&quot;￥&quot;#,##0\)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theme="1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2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Fill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1" xfId="0" applyFont="1" applyFill="1" applyBorder="1">
      <alignment vertical="center"/>
    </xf>
    <xf numFmtId="176" fontId="1" fillId="0" borderId="1" xfId="0" applyNumberFormat="1" applyFont="1" applyBorder="1">
      <alignment vertical="center"/>
    </xf>
    <xf numFmtId="176" fontId="1" fillId="2" borderId="1" xfId="0" applyNumberFormat="1" applyFont="1" applyFill="1" applyBorder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1" fillId="4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>
      <alignment vertical="center"/>
    </xf>
    <xf numFmtId="5" fontId="0" fillId="0" borderId="1" xfId="0" applyNumberFormat="1" applyBorder="1">
      <alignment vertical="center"/>
    </xf>
    <xf numFmtId="5" fontId="0" fillId="2" borderId="1" xfId="0" applyNumberFormat="1" applyFill="1" applyBorder="1">
      <alignment vertical="center"/>
    </xf>
    <xf numFmtId="5" fontId="0" fillId="3" borderId="1" xfId="0" applyNumberFormat="1" applyFill="1" applyBorder="1">
      <alignment vertical="center"/>
    </xf>
    <xf numFmtId="5" fontId="0" fillId="3" borderId="1" xfId="0" applyNumberForma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1" xfId="0" applyBorder="1" applyAlignment="1">
      <alignment vertical="center" wrapText="1"/>
    </xf>
    <xf numFmtId="177" fontId="0" fillId="0" borderId="1" xfId="0" applyNumberFormat="1" applyBorder="1">
      <alignment vertical="center"/>
    </xf>
    <xf numFmtId="9" fontId="0" fillId="0" borderId="2" xfId="0" applyNumberFormat="1" applyBorder="1">
      <alignment vertical="center"/>
    </xf>
    <xf numFmtId="177" fontId="0" fillId="4" borderId="1" xfId="0" applyNumberForma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vertical="center" wrapText="1"/>
    </xf>
    <xf numFmtId="177" fontId="0" fillId="0" borderId="1" xfId="0" applyNumberFormat="1" applyFill="1" applyBorder="1">
      <alignment vertical="center"/>
    </xf>
    <xf numFmtId="9" fontId="0" fillId="0" borderId="2" xfId="0" applyNumberFormat="1" applyFill="1" applyBorder="1">
      <alignment vertical="center"/>
    </xf>
    <xf numFmtId="176" fontId="0" fillId="0" borderId="1" xfId="0" applyNumberFormat="1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7" fontId="3" fillId="0" borderId="1" xfId="0" applyNumberFormat="1" applyFont="1" applyFill="1" applyBorder="1">
      <alignment vertical="center"/>
    </xf>
    <xf numFmtId="176" fontId="1" fillId="0" borderId="2" xfId="0" applyNumberFormat="1" applyFont="1" applyFill="1" applyBorder="1" applyAlignment="1">
      <alignment horizontal="center" vertical="center"/>
    </xf>
    <xf numFmtId="176" fontId="1" fillId="0" borderId="3" xfId="0" applyNumberFormat="1" applyFont="1" applyFill="1" applyBorder="1">
      <alignment vertical="center"/>
    </xf>
    <xf numFmtId="5" fontId="1" fillId="0" borderId="1" xfId="0" applyNumberFormat="1" applyFont="1" applyFill="1" applyBorder="1">
      <alignment vertical="center"/>
    </xf>
    <xf numFmtId="5" fontId="1" fillId="2" borderId="1" xfId="0" applyNumberFormat="1" applyFont="1" applyFill="1" applyBorder="1">
      <alignment vertical="center"/>
    </xf>
    <xf numFmtId="5" fontId="1" fillId="3" borderId="1" xfId="0" applyNumberFormat="1" applyFont="1" applyFill="1" applyBorder="1">
      <alignment vertical="center"/>
    </xf>
    <xf numFmtId="0" fontId="0" fillId="0" borderId="2" xfId="0" applyBorder="1">
      <alignment vertical="center"/>
    </xf>
    <xf numFmtId="177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4" borderId="0" xfId="0" applyFill="1">
      <alignment vertical="center"/>
    </xf>
    <xf numFmtId="177" fontId="0" fillId="4" borderId="0" xfId="0" applyNumberFormat="1" applyFill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dxfs count="18">
    <dxf>
      <numFmt numFmtId="176" formatCode="_ * #,##0_ ;_ * \-#,##0_ ;_ * &quot;-&quot;??_ ;_ @_ 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73660</xdr:colOff>
      <xdr:row>8</xdr:row>
      <xdr:rowOff>52070</xdr:rowOff>
    </xdr:from>
    <xdr:to>
      <xdr:col>17</xdr:col>
      <xdr:colOff>360680</xdr:colOff>
      <xdr:row>36</xdr:row>
      <xdr:rowOff>51435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t="1657" b="2030"/>
        <a:stretch>
          <a:fillRect/>
        </a:stretch>
      </xdr:blipFill>
      <xdr:spPr>
        <a:xfrm>
          <a:off x="18895060" y="4014470"/>
          <a:ext cx="5584190" cy="5191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表1" displayName="表1" ref="A1:C4" totalsRowShown="0">
  <autoFilter xmlns:etc="http://www.wps.cn/officeDocument/2017/etCustomData" ref="A1:C4" etc:filterBottomFollowUsedRange="0"/>
  <tableColumns count="3">
    <tableColumn id="1" name="项目"/>
    <tableColumn id="2" name="类型"/>
    <tableColumn id="3" name="报价" dataDxfId="0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"/>
  <sheetViews>
    <sheetView tabSelected="1" zoomScale="85" zoomScaleNormal="85" topLeftCell="G1" workbookViewId="0">
      <selection activeCell="K8" sqref="K8"/>
    </sheetView>
  </sheetViews>
  <sheetFormatPr defaultColWidth="8.88888888888889" defaultRowHeight="14.4"/>
  <cols>
    <col min="2" max="2" width="44.3333333333333" customWidth="1"/>
    <col min="3" max="3" width="41.7777777777778" customWidth="1"/>
    <col min="4" max="4" width="17.5555555555556"/>
    <col min="5" max="5" width="33.3333333333333" customWidth="1"/>
    <col min="6" max="6" width="28.7777777777778" customWidth="1"/>
    <col min="7" max="7" width="16.4444444444444"/>
    <col min="8" max="8" width="13"/>
    <col min="9" max="9" width="22.5555555555556" customWidth="1"/>
    <col min="10" max="10" width="30" customWidth="1"/>
    <col min="14" max="14" width="17.7777777777778" customWidth="1"/>
    <col min="15" max="15" width="19.8611111111111" customWidth="1"/>
    <col min="16" max="16" width="15.6851851851852" customWidth="1"/>
    <col min="17" max="18" width="15.0277777777778" customWidth="1"/>
    <col min="19" max="19" width="13"/>
  </cols>
  <sheetData>
    <row r="1" ht="33" customHeight="1" spans="1:2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M1" s="4" t="s">
        <v>1</v>
      </c>
      <c r="N1" s="5" t="s">
        <v>2</v>
      </c>
      <c r="O1" s="5" t="s">
        <v>3</v>
      </c>
      <c r="P1" s="6" t="s">
        <v>4</v>
      </c>
      <c r="Q1" s="7" t="s">
        <v>5</v>
      </c>
      <c r="R1" s="8"/>
      <c r="T1" t="s">
        <v>6</v>
      </c>
      <c r="U1" t="s">
        <v>7</v>
      </c>
    </row>
    <row r="2" ht="27" customHeight="1" spans="1:21">
      <c r="A2" s="9" t="s">
        <v>8</v>
      </c>
      <c r="B2" s="10" t="s">
        <v>9</v>
      </c>
      <c r="C2" s="10" t="s">
        <v>10</v>
      </c>
      <c r="D2" s="10" t="s">
        <v>11</v>
      </c>
      <c r="E2" s="10" t="s">
        <v>12</v>
      </c>
      <c r="F2" s="10" t="s">
        <v>13</v>
      </c>
      <c r="G2" s="10" t="s">
        <v>14</v>
      </c>
      <c r="H2" s="10" t="s">
        <v>15</v>
      </c>
      <c r="I2" s="11" t="s">
        <v>16</v>
      </c>
      <c r="J2" s="11" t="s">
        <v>12</v>
      </c>
      <c r="M2" s="12" t="s">
        <v>17</v>
      </c>
      <c r="N2" s="13" t="s">
        <v>18</v>
      </c>
      <c r="O2" s="14">
        <f>($I$3-$U$2)/6</f>
        <v>56000</v>
      </c>
      <c r="P2" s="15">
        <f>O2/2</f>
        <v>28000</v>
      </c>
      <c r="Q2" s="16">
        <f>O2/2</f>
        <v>28000</v>
      </c>
      <c r="R2" s="17">
        <f>SUM(Q2:Q4)</f>
        <v>84000</v>
      </c>
      <c r="S2" s="18" t="s">
        <v>19</v>
      </c>
      <c r="T2">
        <f>I3/2</f>
        <v>175200</v>
      </c>
      <c r="U2">
        <v>14400</v>
      </c>
    </row>
    <row r="3" ht="46" customHeight="1" spans="1:21">
      <c r="A3" s="9">
        <v>1</v>
      </c>
      <c r="B3" s="19" t="s">
        <v>20</v>
      </c>
      <c r="C3" s="9" t="s">
        <v>21</v>
      </c>
      <c r="D3" s="20">
        <v>300000</v>
      </c>
      <c r="E3" s="9" t="s">
        <v>22</v>
      </c>
      <c r="F3" s="13">
        <f>D3*50%</f>
        <v>150000</v>
      </c>
      <c r="G3" s="13">
        <f>D3*50%</f>
        <v>150000</v>
      </c>
      <c r="H3" s="21">
        <v>0.5</v>
      </c>
      <c r="I3" s="22">
        <f>350400</f>
        <v>350400</v>
      </c>
      <c r="J3" s="23" t="s">
        <v>23</v>
      </c>
      <c r="M3" s="12"/>
      <c r="N3" s="13" t="s">
        <v>24</v>
      </c>
      <c r="O3" s="14">
        <f>($I$3-$U$2)/6</f>
        <v>56000</v>
      </c>
      <c r="P3" s="15">
        <f t="shared" ref="P3:P8" si="0">O3/2</f>
        <v>28000</v>
      </c>
      <c r="Q3" s="16">
        <f>O3/2</f>
        <v>28000</v>
      </c>
      <c r="R3" s="17"/>
      <c r="S3" s="18" t="s">
        <v>25</v>
      </c>
      <c r="T3">
        <f>Q8</f>
        <v>175200</v>
      </c>
    </row>
    <row r="4" s="2" customFormat="1" ht="32" customHeight="1" spans="1:21">
      <c r="A4" s="24">
        <v>2</v>
      </c>
      <c r="B4" s="24" t="s">
        <v>26</v>
      </c>
      <c r="C4" s="25" t="s">
        <v>27</v>
      </c>
      <c r="D4" s="26">
        <v>1500000</v>
      </c>
      <c r="E4" s="24" t="s">
        <v>28</v>
      </c>
      <c r="F4" s="13">
        <f t="shared" ref="F4:F12" si="1">D4*50%</f>
        <v>750000</v>
      </c>
      <c r="G4" s="13">
        <f t="shared" ref="G4:G12" si="2">D4*50%</f>
        <v>750000</v>
      </c>
      <c r="H4" s="27">
        <v>0.5</v>
      </c>
      <c r="I4" s="22"/>
      <c r="J4" s="23"/>
      <c r="M4" s="12"/>
      <c r="N4" s="28" t="s">
        <v>29</v>
      </c>
      <c r="O4" s="14">
        <f>($I$3-$U$2)/6</f>
        <v>56000</v>
      </c>
      <c r="P4" s="15">
        <f t="shared" si="0"/>
        <v>28000</v>
      </c>
      <c r="Q4" s="16">
        <f>O4/2</f>
        <v>28000</v>
      </c>
      <c r="R4" s="17"/>
      <c r="S4" s="18"/>
    </row>
    <row r="5" s="2" customFormat="1" ht="30" customHeight="1" spans="1:21">
      <c r="A5" s="24">
        <v>3</v>
      </c>
      <c r="B5" s="24" t="s">
        <v>30</v>
      </c>
      <c r="C5" s="25" t="s">
        <v>31</v>
      </c>
      <c r="D5" s="26">
        <f>6*单项成本!C2</f>
        <v>376158</v>
      </c>
      <c r="E5" s="24"/>
      <c r="F5" s="28">
        <f t="shared" si="1"/>
        <v>188079</v>
      </c>
      <c r="G5" s="28">
        <f t="shared" si="2"/>
        <v>188079</v>
      </c>
      <c r="H5" s="27">
        <v>0.5</v>
      </c>
      <c r="I5" s="24"/>
      <c r="J5" s="24"/>
      <c r="M5" s="29" t="s">
        <v>32</v>
      </c>
      <c r="N5" s="28" t="s">
        <v>33</v>
      </c>
      <c r="O5" s="14">
        <f>($I$3-$U$2)/6</f>
        <v>56000</v>
      </c>
      <c r="P5" s="15">
        <f t="shared" si="0"/>
        <v>28000</v>
      </c>
      <c r="Q5" s="16">
        <f>O5/2</f>
        <v>28000</v>
      </c>
      <c r="R5" s="17">
        <f>SUM(Q5:Q7)</f>
        <v>91200</v>
      </c>
      <c r="S5" s="30"/>
    </row>
    <row r="6" s="2" customFormat="1" ht="40" customHeight="1" spans="1:21">
      <c r="A6" s="24">
        <v>4</v>
      </c>
      <c r="B6" s="24" t="s">
        <v>34</v>
      </c>
      <c r="C6" s="25" t="s">
        <v>35</v>
      </c>
      <c r="D6" s="26">
        <f>8*单项成本!C4</f>
        <v>56800</v>
      </c>
      <c r="E6" s="24"/>
      <c r="F6" s="28">
        <f t="shared" si="1"/>
        <v>28400</v>
      </c>
      <c r="G6" s="28">
        <f t="shared" si="2"/>
        <v>28400</v>
      </c>
      <c r="H6" s="27">
        <v>0.5</v>
      </c>
      <c r="I6" s="24"/>
      <c r="J6" s="24"/>
      <c r="M6" s="29"/>
      <c r="N6" s="28" t="s">
        <v>36</v>
      </c>
      <c r="O6" s="14">
        <f>($I$3-$U$2)/6</f>
        <v>56000</v>
      </c>
      <c r="P6" s="15">
        <f t="shared" si="0"/>
        <v>28000</v>
      </c>
      <c r="Q6" s="16">
        <f>O6/2</f>
        <v>28000</v>
      </c>
      <c r="R6" s="17"/>
      <c r="S6" s="30"/>
    </row>
    <row r="7" ht="58" customHeight="1" spans="1:21">
      <c r="A7" s="9">
        <v>5</v>
      </c>
      <c r="B7" s="9" t="s">
        <v>37</v>
      </c>
      <c r="C7" s="19" t="s">
        <v>38</v>
      </c>
      <c r="D7" s="20">
        <f>4*单项成本!C2</f>
        <v>250772</v>
      </c>
      <c r="E7" s="9"/>
      <c r="F7" s="13">
        <f t="shared" si="1"/>
        <v>125386</v>
      </c>
      <c r="G7" s="13">
        <f t="shared" si="2"/>
        <v>125386</v>
      </c>
      <c r="H7" s="27">
        <v>0.5</v>
      </c>
      <c r="I7" s="24"/>
      <c r="J7" s="24"/>
      <c r="M7" s="29"/>
      <c r="N7" s="13" t="s">
        <v>39</v>
      </c>
      <c r="O7" s="14">
        <f>($I$3-$U$2)/6+U2</f>
        <v>70400</v>
      </c>
      <c r="P7" s="15">
        <f>(O7)/2</f>
        <v>35200</v>
      </c>
      <c r="Q7" s="16">
        <f>O7/2</f>
        <v>35200</v>
      </c>
      <c r="R7" s="17"/>
      <c r="S7" s="30"/>
    </row>
    <row r="8" s="2" customFormat="1" ht="46" customHeight="1" spans="1:21">
      <c r="A8" s="24">
        <v>6</v>
      </c>
      <c r="B8" s="24" t="s">
        <v>40</v>
      </c>
      <c r="C8" s="25" t="s">
        <v>41</v>
      </c>
      <c r="D8" s="31">
        <v>150000</v>
      </c>
      <c r="E8" s="25" t="s">
        <v>42</v>
      </c>
      <c r="F8" s="28">
        <f t="shared" si="1"/>
        <v>75000</v>
      </c>
      <c r="G8" s="28">
        <f t="shared" si="2"/>
        <v>75000</v>
      </c>
      <c r="H8" s="27">
        <v>0.5</v>
      </c>
      <c r="I8" s="24"/>
      <c r="J8" s="24"/>
      <c r="M8" s="32" t="s">
        <v>43</v>
      </c>
      <c r="N8" s="33"/>
      <c r="O8" s="34"/>
      <c r="P8" s="35">
        <f>SUM(P2:P7)</f>
        <v>175200</v>
      </c>
      <c r="Q8" s="36">
        <f>SUM(Q2:Q7)</f>
        <v>175200</v>
      </c>
      <c r="R8" s="36">
        <f>SUM(R2:R7)</f>
        <v>175200</v>
      </c>
    </row>
    <row r="9" ht="20" customHeight="1" spans="1:21">
      <c r="A9" s="9">
        <v>7</v>
      </c>
      <c r="B9" s="9" t="s">
        <v>44</v>
      </c>
      <c r="C9" s="9"/>
      <c r="D9" s="20">
        <v>320000</v>
      </c>
      <c r="E9" s="9"/>
      <c r="F9" s="13">
        <f t="shared" si="1"/>
        <v>160000</v>
      </c>
      <c r="G9" s="13">
        <f t="shared" si="2"/>
        <v>160000</v>
      </c>
      <c r="H9" s="21">
        <v>0.5</v>
      </c>
      <c r="I9" s="9"/>
      <c r="J9" s="9"/>
    </row>
    <row r="10" spans="1:21">
      <c r="A10" s="9"/>
      <c r="B10" s="9"/>
      <c r="C10" s="9" t="s">
        <v>45</v>
      </c>
      <c r="D10" s="20">
        <f>D9</f>
        <v>320000</v>
      </c>
      <c r="E10" s="9"/>
      <c r="F10" s="13">
        <f t="shared" si="1"/>
        <v>160000</v>
      </c>
      <c r="G10" s="13">
        <f t="shared" si="2"/>
        <v>160000</v>
      </c>
      <c r="H10" s="21"/>
      <c r="I10" s="9"/>
      <c r="J10" s="9"/>
    </row>
    <row r="11" spans="1:21">
      <c r="A11" s="9"/>
      <c r="B11" s="9"/>
      <c r="C11" s="9" t="s">
        <v>46</v>
      </c>
      <c r="D11" s="20">
        <f>SUM(D3:D8)</f>
        <v>2633730</v>
      </c>
      <c r="E11" s="9"/>
      <c r="F11" s="13">
        <f t="shared" si="1"/>
        <v>1316865</v>
      </c>
      <c r="G11" s="13">
        <f t="shared" si="2"/>
        <v>1316865</v>
      </c>
      <c r="H11" s="37"/>
      <c r="I11" s="9"/>
      <c r="J11" s="9"/>
    </row>
    <row r="12" spans="1:21">
      <c r="A12" s="9"/>
      <c r="B12" s="9"/>
      <c r="C12" s="9" t="s">
        <v>47</v>
      </c>
      <c r="D12" s="20">
        <f>D10+D11</f>
        <v>2953730</v>
      </c>
      <c r="E12" s="9"/>
      <c r="F12" s="13">
        <f t="shared" si="1"/>
        <v>1476865</v>
      </c>
      <c r="G12" s="13">
        <f t="shared" si="2"/>
        <v>1476865</v>
      </c>
      <c r="H12" s="37"/>
      <c r="I12" s="9"/>
      <c r="J12" s="9"/>
    </row>
    <row r="13" spans="1:21">
      <c r="D13" s="38"/>
      <c r="O13" s="39"/>
    </row>
    <row r="14" spans="1:21">
      <c r="C14" s="40" t="s">
        <v>48</v>
      </c>
      <c r="D14" s="41">
        <f>D12-2918200</f>
        <v>35530</v>
      </c>
      <c r="I14" s="20">
        <f>1800000-I3</f>
        <v>1449600</v>
      </c>
    </row>
    <row r="16" spans="1:21">
      <c r="J16">
        <f>175200+14400</f>
        <v>189600</v>
      </c>
    </row>
    <row r="17" spans="5:8">
      <c r="G17" s="1"/>
      <c r="H17" s="1"/>
    </row>
    <row r="20" spans="5:8">
      <c r="E20">
        <f>288/12</f>
        <v>24</v>
      </c>
    </row>
  </sheetData>
  <mergeCells count="9">
    <mergeCell ref="A1:J1"/>
    <mergeCell ref="Q1:R1"/>
    <mergeCell ref="M8:N8"/>
    <mergeCell ref="I3:I4"/>
    <mergeCell ref="J3:J4"/>
    <mergeCell ref="M2:M4"/>
    <mergeCell ref="M5:M7"/>
    <mergeCell ref="R2:R4"/>
    <mergeCell ref="R5:R7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E10" sqref="E10"/>
    </sheetView>
  </sheetViews>
  <sheetFormatPr defaultColWidth="8.88888888888889" defaultRowHeight="14.4" outlineLevelRow="3" outlineLevelCol="3"/>
  <cols>
    <col min="1" max="2" width="25.2222222222222" customWidth="1"/>
    <col min="3" max="3" width="16.7777777777778" customWidth="1"/>
    <col min="4" max="4" width="11.8888888888889"/>
  </cols>
  <sheetData>
    <row r="1" spans="1:4">
      <c r="A1" t="s">
        <v>9</v>
      </c>
      <c r="B1" t="s">
        <v>49</v>
      </c>
      <c r="C1" t="s">
        <v>50</v>
      </c>
      <c r="D1" t="s">
        <v>51</v>
      </c>
    </row>
    <row r="2" spans="1:4">
      <c r="A2" t="s">
        <v>52</v>
      </c>
      <c r="B2" t="s">
        <v>53</v>
      </c>
      <c r="C2" s="1">
        <f>8830*7.1</f>
        <v>62693</v>
      </c>
    </row>
    <row r="3" spans="1:4">
      <c r="A3" t="s">
        <v>54</v>
      </c>
      <c r="B3" t="s">
        <v>55</v>
      </c>
      <c r="C3" s="1">
        <f>(150+4*150)*7.1</f>
        <v>5325</v>
      </c>
      <c r="D3" s="1">
        <f>C3*(1+15%)</f>
        <v>6123.75</v>
      </c>
    </row>
    <row r="4" spans="1:4">
      <c r="A4" t="s">
        <v>56</v>
      </c>
      <c r="B4" t="s">
        <v>57</v>
      </c>
      <c r="C4" s="1">
        <f>1000*7.1</f>
        <v>7100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总表</vt:lpstr>
      <vt:lpstr>单项成本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OCD</cp:lastModifiedBy>
  <dcterms:created xsi:type="dcterms:W3CDTF">2025-10-13T10:45:00Z</dcterms:created>
  <dcterms:modified xsi:type="dcterms:W3CDTF">2026-05-26T06:44:21Z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A71B02513DBF463D9BD5A62734D6580F_13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
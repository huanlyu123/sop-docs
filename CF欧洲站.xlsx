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3"/>
  </bookViews>
  <sheets>
    <sheet name="报告" sheetId="1" r:id="rId1"/>
    <sheet name="Sheet1" sheetId="3" r:id="rId2"/>
    <sheet name="总表" sheetId="2" r:id="rId3"/>
    <sheet name="Sheet2" sheetId="4" r:id="rId4"/>
  </sheets>
  <externalReferences>
    <externalReference r:id="rId6"/>
  </externalReferences>
  <definedNames>
    <definedName name="_xlnm._FilterDatabase" localSheetId="2" hidden="1">总表!$A$1:$G$43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<sst xmlns="http://schemas.openxmlformats.org/spreadsheetml/2006/main" count="173" uniqueCount="71">
  <si>
    <t>报告：成功合并 7 个工作表，共 53 行数据。</t>
  </si>
  <si>
    <t>工作簿</t>
  </si>
  <si>
    <t>工作表</t>
  </si>
  <si>
    <t>合并状态</t>
  </si>
  <si>
    <t>合并后的位置</t>
  </si>
  <si>
    <t>Search(Into-The-Am)-261-UK-20260123.xlsx</t>
  </si>
  <si>
    <t>Brands</t>
  </si>
  <si>
    <t>成功</t>
  </si>
  <si>
    <t>总表!B1:H9</t>
  </si>
  <si>
    <t>Search(Nautica)-287-UK-20260123.xlsx</t>
  </si>
  <si>
    <t>总表!B10:H18</t>
  </si>
  <si>
    <t>Products(236)-UK-20260123.xlsx</t>
  </si>
  <si>
    <t>总表!B19:H20</t>
  </si>
  <si>
    <t>Products(11)-UK-20260123.xlsx</t>
  </si>
  <si>
    <t>总表!B21:H24</t>
  </si>
  <si>
    <t>Products(230)-UK-20260123.xlsx</t>
  </si>
  <si>
    <t>总表!B25:H48</t>
  </si>
  <si>
    <t>Products(31)-UK-20260123.xlsx</t>
  </si>
  <si>
    <t>总表!B49:H51</t>
  </si>
  <si>
    <t>Products(18)-UK-20260123.xlsx</t>
  </si>
  <si>
    <t>总表!B52:H53</t>
  </si>
  <si>
    <t>品牌</t>
  </si>
  <si>
    <t>求和项:近一年销售额(£)</t>
  </si>
  <si>
    <t>33,000ft</t>
  </si>
  <si>
    <t>Alimens &amp; Gentle</t>
  </si>
  <si>
    <t>am</t>
  </si>
  <si>
    <t>AWDis</t>
  </si>
  <si>
    <t>Beechfield</t>
  </si>
  <si>
    <t>Boyzn</t>
  </si>
  <si>
    <t>Build Your Brand</t>
  </si>
  <si>
    <t>Callaway</t>
  </si>
  <si>
    <t>Canterbury</t>
  </si>
  <si>
    <t>Carhartt</t>
  </si>
  <si>
    <t>Craghoppers</t>
  </si>
  <si>
    <t>Flexfit</t>
  </si>
  <si>
    <t>Fort</t>
  </si>
  <si>
    <t>Fruit of the Loom</t>
  </si>
  <si>
    <t>Gaiatiger</t>
  </si>
  <si>
    <t>Gildan</t>
  </si>
  <si>
    <t>HUAKANG</t>
  </si>
  <si>
    <t>INTO THE AM</t>
  </si>
  <si>
    <t>J.VER</t>
  </si>
  <si>
    <t>JMIERR</t>
  </si>
  <si>
    <t>Mumbles</t>
  </si>
  <si>
    <t>Nautica</t>
  </si>
  <si>
    <t>PJ PAUL JONES</t>
  </si>
  <si>
    <t>Portwest</t>
  </si>
  <si>
    <t>Premier</t>
  </si>
  <si>
    <t>PRO RTX</t>
  </si>
  <si>
    <t>Regatta</t>
  </si>
  <si>
    <t>Regatta Professional</t>
  </si>
  <si>
    <t>Result</t>
  </si>
  <si>
    <t>Result Genuine Recycled</t>
  </si>
  <si>
    <t>Something Different Wholesale</t>
  </si>
  <si>
    <t>Stormtech</t>
  </si>
  <si>
    <t>TACVASEN</t>
  </si>
  <si>
    <t>TORO ACTIVA</t>
  </si>
  <si>
    <t>Under Armour</t>
  </si>
  <si>
    <t>Uneek clothing</t>
  </si>
  <si>
    <t>VATPAVE</t>
  </si>
  <si>
    <t>Westford Mill</t>
  </si>
  <si>
    <t>(空白)</t>
  </si>
  <si>
    <t>总计</t>
  </si>
  <si>
    <t>月销量</t>
  </si>
  <si>
    <t>月销售额(£)</t>
  </si>
  <si>
    <t>近1年销量</t>
  </si>
  <si>
    <t>近一年销售额(£)</t>
  </si>
  <si>
    <t>平均价格(£)</t>
  </si>
  <si>
    <t>市场份额</t>
  </si>
  <si>
    <t>NAUTICA</t>
  </si>
  <si>
    <t>Into The 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</si>
</sst>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\ &quot;€&quot;;\-#,##0\ &quot;€&quot;"/>
    <numFmt numFmtId="177" formatCode="#,##0.00%"/>
  </numFmts>
  <fonts count="24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1"/>
      <color rgb="FFFEFEFE"/>
      <name val="等线"/>
      <charset val="134"/>
    </font>
    <font>
      <sz val="11"/>
      <name val="等线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808B9E"/>
        <bgColor indexed="64"/>
      </patternFill>
    </fill>
    <fill>
      <patternFill patternType="solid">
        <fgColor rgb="FFE98A00"/>
        <bgColor rgb="FF0000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176" fontId="0" fillId="0" borderId="0" xfId="0" applyNumberFormat="1">
      <alignment vertical="center"/>
    </xf>
    <xf numFmtId="0" fontId="2" fillId="3" borderId="0" xfId="0" applyFont="1" applyFill="1" applyAlignment="1">
      <alignment horizontal="center" vertical="center"/>
    </xf>
    <xf numFmtId="3" fontId="2" fillId="3" borderId="0" xfId="0" applyNumberFormat="1" applyFont="1" applyFill="1" applyAlignment="1">
      <alignment horizontal="center" vertical="center"/>
    </xf>
    <xf numFmtId="4" fontId="2" fillId="3" borderId="0" xfId="0" applyNumberFormat="1" applyFont="1" applyFill="1" applyAlignment="1">
      <alignment horizontal="center" vertical="center"/>
    </xf>
    <xf numFmtId="177" fontId="2" fillId="3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3" fontId="3" fillId="0" borderId="0" xfId="0" applyNumberFormat="1" applyFont="1" applyFill="1" applyAlignment="1">
      <alignment horizontal="right" vertical="center"/>
    </xf>
    <xf numFmtId="4" fontId="3" fillId="0" borderId="0" xfId="0" applyNumberFormat="1" applyFont="1" applyFill="1" applyAlignment="1">
      <alignment horizontal="right" vertical="center"/>
    </xf>
    <xf numFmtId="177" fontId="3" fillId="0" borderId="0" xfId="0" applyNumberFormat="1" applyFont="1" applyFill="1" applyAlignment="1">
      <alignment horizontal="right" vertical="center"/>
    </xf>
    <xf numFmtId="0" fontId="4" fillId="0" borderId="0" xfId="0" applyFont="1">
      <alignment vertical="center"/>
    </xf>
    <xf numFmtId="0" fontId="5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4037;&#20316;&#31807;2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报告"/>
      <sheetName val="Sheet1"/>
      <sheetName val="总表"/>
      <sheetName val="Sheet2"/>
    </sheetNames>
    <sheetDataSet>
      <sheetData sheetId="0"/>
      <sheetData sheetId="1"/>
      <sheetData sheetId="2"/>
      <sheetData sheetId="3">
        <row r="3">
          <cell r="A3" t="str">
            <v>品牌</v>
          </cell>
          <cell r="B3" t="str">
            <v>求和项:近一年销售额(€)</v>
          </cell>
        </row>
        <row r="4">
          <cell r="A4" t="str">
            <v>Alimens &amp; Gentle</v>
          </cell>
          <cell r="B4">
            <v>120162.67</v>
          </cell>
        </row>
        <row r="5">
          <cell r="A5" t="str">
            <v>Amazon Essentials</v>
          </cell>
          <cell r="B5">
            <v>946749.935</v>
          </cell>
        </row>
        <row r="6">
          <cell r="A6" t="str">
            <v>AMZSPORT</v>
          </cell>
          <cell r="B6">
            <v>4410.47</v>
          </cell>
        </row>
        <row r="7">
          <cell r="A7" t="str">
            <v>ANTICA CORDERIA MARRA dal 1896</v>
          </cell>
          <cell r="B7">
            <v>127.04</v>
          </cell>
        </row>
        <row r="8">
          <cell r="A8" t="str">
            <v>APREL</v>
          </cell>
          <cell r="B8">
            <v>1172.42</v>
          </cell>
        </row>
        <row r="9">
          <cell r="A9" t="str">
            <v>bagsmart</v>
          </cell>
          <cell r="B9">
            <v>538690.32</v>
          </cell>
        </row>
        <row r="10">
          <cell r="A10" t="str">
            <v>Baoneite</v>
          </cell>
          <cell r="B10">
            <v>3654</v>
          </cell>
        </row>
        <row r="11">
          <cell r="A11" t="str">
            <v>Basic Treasure</v>
          </cell>
          <cell r="B11">
            <v>336403.2</v>
          </cell>
        </row>
        <row r="12">
          <cell r="A12" t="str">
            <v>BDM</v>
          </cell>
          <cell r="B12">
            <v>377.5</v>
          </cell>
        </row>
        <row r="13">
          <cell r="A13" t="str">
            <v>Boyzn</v>
          </cell>
          <cell r="B13">
            <v>131173.18</v>
          </cell>
        </row>
        <row r="14">
          <cell r="A14" t="str">
            <v>Bsrpolry</v>
          </cell>
          <cell r="B14">
            <v>180914.76</v>
          </cell>
        </row>
        <row r="15">
          <cell r="A15" t="str">
            <v>Casey Kevin</v>
          </cell>
          <cell r="B15">
            <v>21999.6</v>
          </cell>
        </row>
        <row r="16">
          <cell r="A16" t="str">
            <v>Cavva</v>
          </cell>
          <cell r="B16">
            <v>18822.55</v>
          </cell>
        </row>
        <row r="17">
          <cell r="A17" t="str">
            <v>Comfneat</v>
          </cell>
          <cell r="B17">
            <v>441453.6</v>
          </cell>
        </row>
        <row r="18">
          <cell r="A18" t="str">
            <v>COOFANDY</v>
          </cell>
          <cell r="B18">
            <v>1107168.3</v>
          </cell>
        </row>
        <row r="19">
          <cell r="A19" t="str">
            <v>Dockers</v>
          </cell>
          <cell r="B19">
            <v>0</v>
          </cell>
        </row>
        <row r="20">
          <cell r="A20" t="str">
            <v>Drywear</v>
          </cell>
          <cell r="B20">
            <v>1755</v>
          </cell>
        </row>
        <row r="21">
          <cell r="A21" t="str">
            <v>EA'S SECRET</v>
          </cell>
          <cell r="B21">
            <v>0</v>
          </cell>
        </row>
        <row r="22">
          <cell r="A22" t="str">
            <v>E-LIINJOYE</v>
          </cell>
          <cell r="B22">
            <v>152824.56</v>
          </cell>
        </row>
        <row r="23">
          <cell r="A23" t="str">
            <v>EXINOX</v>
          </cell>
          <cell r="B23">
            <v>1319.12</v>
          </cell>
        </row>
        <row r="24">
          <cell r="A24" t="str">
            <v>FEICE</v>
          </cell>
          <cell r="B24">
            <v>44457.4</v>
          </cell>
        </row>
        <row r="25">
          <cell r="A25" t="str">
            <v>FM London</v>
          </cell>
          <cell r="B25">
            <v>4009170.48</v>
          </cell>
        </row>
        <row r="26">
          <cell r="A26" t="str">
            <v>FULL TIME SPORTS</v>
          </cell>
          <cell r="B26">
            <v>2308493.348</v>
          </cell>
        </row>
        <row r="27">
          <cell r="A27" t="str">
            <v>Fullluwaa</v>
          </cell>
          <cell r="B27">
            <v>2035145.58</v>
          </cell>
        </row>
        <row r="28">
          <cell r="A28" t="str">
            <v>Gildan</v>
          </cell>
          <cell r="B28">
            <v>978042.581263158</v>
          </cell>
        </row>
        <row r="29">
          <cell r="A29" t="str">
            <v>Grin&amp;Bear</v>
          </cell>
          <cell r="B29">
            <v>964549.6</v>
          </cell>
        </row>
        <row r="30">
          <cell r="A30" t="str">
            <v>G-STAR</v>
          </cell>
          <cell r="B30">
            <v>5891.49</v>
          </cell>
        </row>
        <row r="31">
          <cell r="A31" t="str">
            <v>HYPESTFIT</v>
          </cell>
          <cell r="B31">
            <v>107182.28</v>
          </cell>
        </row>
        <row r="32">
          <cell r="A32" t="str">
            <v>INTIMALUX</v>
          </cell>
          <cell r="B32">
            <v>3983.98</v>
          </cell>
        </row>
        <row r="33">
          <cell r="A33" t="str">
            <v>INTO THE AM</v>
          </cell>
          <cell r="B33">
            <v>5301.89042553192</v>
          </cell>
        </row>
        <row r="34">
          <cell r="A34" t="str">
            <v>JACK &amp; JONES</v>
          </cell>
          <cell r="B34">
            <v>2935845.6</v>
          </cell>
        </row>
        <row r="35">
          <cell r="A35" t="str">
            <v>JACKSHIBO</v>
          </cell>
          <cell r="B35">
            <v>73451.52</v>
          </cell>
        </row>
        <row r="36">
          <cell r="A36" t="str">
            <v>JMIERR</v>
          </cell>
          <cell r="B36">
            <v>5294368.41142857</v>
          </cell>
        </row>
        <row r="37">
          <cell r="A37" t="str">
            <v>JupiterSecret</v>
          </cell>
          <cell r="B37">
            <v>462776.16</v>
          </cell>
        </row>
        <row r="38">
          <cell r="A38" t="str">
            <v>Kallspin</v>
          </cell>
          <cell r="B38">
            <v>2419</v>
          </cell>
        </row>
        <row r="39">
          <cell r="A39" t="str">
            <v>KEFITEVD</v>
          </cell>
          <cell r="B39">
            <v>90468.4</v>
          </cell>
        </row>
        <row r="40">
          <cell r="A40" t="str">
            <v>L&amp;K</v>
          </cell>
          <cell r="B40">
            <v>728251.44</v>
          </cell>
        </row>
        <row r="41">
          <cell r="A41" t="str">
            <v>Libin</v>
          </cell>
          <cell r="B41">
            <v>3591</v>
          </cell>
        </row>
        <row r="42">
          <cell r="A42" t="str">
            <v>LINE ONE</v>
          </cell>
          <cell r="B42">
            <v>1363.05</v>
          </cell>
        </row>
        <row r="43">
          <cell r="A43" t="str">
            <v>LVCBL</v>
          </cell>
          <cell r="B43">
            <v>11179.085</v>
          </cell>
        </row>
        <row r="44">
          <cell r="A44" t="str">
            <v>Mnamo</v>
          </cell>
          <cell r="B44">
            <v>241283.9</v>
          </cell>
        </row>
        <row r="45">
          <cell r="A45" t="str">
            <v>Nautica</v>
          </cell>
          <cell r="B45">
            <v>253277.275833333</v>
          </cell>
        </row>
        <row r="46">
          <cell r="A46" t="str">
            <v>NITAGUT</v>
          </cell>
          <cell r="B46">
            <v>466898.88</v>
          </cell>
        </row>
        <row r="47">
          <cell r="A47" t="str">
            <v>NOROZE</v>
          </cell>
          <cell r="B47">
            <v>15556.25</v>
          </cell>
        </row>
        <row r="48">
          <cell r="A48" t="str">
            <v>Outdoor Ventures</v>
          </cell>
          <cell r="B48">
            <v>16015.61</v>
          </cell>
        </row>
        <row r="49">
          <cell r="A49" t="str">
            <v>PaulJones</v>
          </cell>
          <cell r="B49">
            <v>34065.45</v>
          </cell>
        </row>
        <row r="50">
          <cell r="A50" t="str">
            <v>Petrol Industries</v>
          </cell>
          <cell r="B50">
            <v>0</v>
          </cell>
        </row>
        <row r="51">
          <cell r="A51" t="str">
            <v>PJ PAUL JONES</v>
          </cell>
          <cell r="B51">
            <v>99644.6082352941</v>
          </cell>
        </row>
        <row r="52">
          <cell r="A52" t="str">
            <v>Reebok</v>
          </cell>
          <cell r="B52">
            <v>268427.15</v>
          </cell>
        </row>
        <row r="53">
          <cell r="A53" t="str">
            <v>Roxon</v>
          </cell>
          <cell r="B53">
            <v>17290.9</v>
          </cell>
        </row>
        <row r="54">
          <cell r="A54" t="str">
            <v>Runcati</v>
          </cell>
          <cell r="B54">
            <v>194266.8</v>
          </cell>
        </row>
        <row r="55">
          <cell r="A55" t="str">
            <v>Sailwind</v>
          </cell>
          <cell r="B55">
            <v>12518.52</v>
          </cell>
        </row>
        <row r="56">
          <cell r="A56" t="str">
            <v>SDOTPMT</v>
          </cell>
          <cell r="B56">
            <v>0</v>
          </cell>
        </row>
        <row r="57">
          <cell r="A57" t="str">
            <v>sockenkauf24</v>
          </cell>
          <cell r="B57">
            <v>603358.56</v>
          </cell>
        </row>
        <row r="58">
          <cell r="A58" t="str">
            <v>Sublevel</v>
          </cell>
          <cell r="B58">
            <v>638649.6</v>
          </cell>
        </row>
        <row r="59">
          <cell r="A59" t="str">
            <v>SwissWell</v>
          </cell>
          <cell r="B59">
            <v>370692</v>
          </cell>
        </row>
        <row r="60">
          <cell r="A60" t="str">
            <v>TACVASEN</v>
          </cell>
          <cell r="B60">
            <v>4456572.30836364</v>
          </cell>
        </row>
        <row r="61">
          <cell r="A61" t="str">
            <v>TICTEX</v>
          </cell>
          <cell r="B61">
            <v>153323.732857143</v>
          </cell>
        </row>
        <row r="62">
          <cell r="A62" t="str">
            <v>Trendy Boy</v>
          </cell>
          <cell r="B62">
            <v>0</v>
          </cell>
        </row>
        <row r="63">
          <cell r="A63" t="str">
            <v>Tyhengta</v>
          </cell>
          <cell r="B63">
            <v>3160.08</v>
          </cell>
        </row>
        <row r="64">
          <cell r="A64" t="str">
            <v>UNDEREA</v>
          </cell>
          <cell r="B64">
            <v>11182.08</v>
          </cell>
        </row>
        <row r="65">
          <cell r="A65" t="str">
            <v>Undiemeister</v>
          </cell>
          <cell r="B65">
            <v>48647.55</v>
          </cell>
        </row>
        <row r="66">
          <cell r="A66" t="str">
            <v>Urban Classics</v>
          </cell>
          <cell r="B66">
            <v>673916.88</v>
          </cell>
        </row>
        <row r="67">
          <cell r="A67" t="str">
            <v>USALL</v>
          </cell>
          <cell r="B67">
            <v>204284.96</v>
          </cell>
        </row>
        <row r="68">
          <cell r="A68" t="str">
            <v>VATPAVE</v>
          </cell>
          <cell r="B68">
            <v>253471.68</v>
          </cell>
        </row>
        <row r="69">
          <cell r="A69" t="str">
            <v>VEIISAR</v>
          </cell>
          <cell r="B69">
            <v>538739.733333333</v>
          </cell>
        </row>
        <row r="70">
          <cell r="A70" t="str">
            <v>Vicco</v>
          </cell>
          <cell r="B70">
            <v>11781</v>
          </cell>
        </row>
        <row r="71">
          <cell r="A71" t="str">
            <v>vislivin</v>
          </cell>
          <cell r="B71">
            <v>191593.92</v>
          </cell>
        </row>
        <row r="72">
          <cell r="A72" t="str">
            <v>WORK IDEA</v>
          </cell>
          <cell r="B72">
            <v>389151</v>
          </cell>
        </row>
        <row r="73">
          <cell r="A73" t="str">
            <v>Zaitun</v>
          </cell>
          <cell r="B73">
            <v>33907.64</v>
          </cell>
        </row>
        <row r="74">
          <cell r="A74" t="str">
            <v>ZAKASA</v>
          </cell>
          <cell r="B74">
            <v>5172.44</v>
          </cell>
        </row>
        <row r="75">
          <cell r="A75" t="str">
            <v>zitysport</v>
          </cell>
          <cell r="B75">
            <v>20600.45</v>
          </cell>
        </row>
        <row r="76">
          <cell r="A76" t="str">
            <v>(空白)</v>
          </cell>
        </row>
        <row r="77">
          <cell r="A77" t="str">
            <v>总计</v>
          </cell>
          <cell r="B77">
            <v>34302561.47974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45.5183680556" refreshedBy="admin" recordCount="43">
  <cacheSource type="worksheet">
    <worksheetSource ref="A1:G1048576" sheet="总表"/>
  </cacheSource>
  <cacheFields count="7">
    <cacheField name="品牌" numFmtId="0">
      <sharedItems containsBlank="1" count="39">
        <s v="INTO THE AM"/>
        <s v="am"/>
        <s v="HUAKANG"/>
        <s v="Boyzn"/>
        <s v="Gaiatiger"/>
        <s v="TORO ACTIVA"/>
        <s v="VATPAVE"/>
        <s v="Nautica"/>
        <s v="33,000ft"/>
        <s v="J.VER"/>
        <s v="Carhartt"/>
        <s v="TACVASEN"/>
        <s v="Alimens &amp; Gentle"/>
        <s v="Regatta"/>
        <s v="Fruit of the Loom"/>
        <s v="Under Armour"/>
        <s v="Canterbury"/>
        <s v="Flexfit"/>
        <s v="Beechfield"/>
        <s v="Westford Mill"/>
        <s v="Build Your Brand"/>
        <s v="Portwest"/>
        <s v="Result"/>
        <s v="Uneek clothing"/>
        <s v="Fort"/>
        <s v="Gildan"/>
        <s v="Regatta Professional"/>
        <s v="Something Different Wholesale"/>
        <s v="Craghoppers"/>
        <s v="Callaway"/>
        <s v="Mumbles"/>
        <s v="Premier"/>
        <s v="Result Genuine Recycled"/>
        <s v="PRO RTX"/>
        <s v="Stormtech"/>
        <s v="AWDis"/>
        <s v="JMIERR"/>
        <s v="PJ PAUL JONES"/>
        <m/>
      </sharedItems>
    </cacheField>
    <cacheField name="月销量" numFmtId="0">
      <sharedItems containsString="0" containsBlank="1" containsNumber="1" containsInteger="1" minValue="0" maxValue="38537" count="38">
        <n v="24"/>
        <n v="0"/>
        <n v="302"/>
        <n v="969"/>
        <n v="621"/>
        <n v="196"/>
        <n v="27"/>
        <n v="2085"/>
        <n v="136"/>
        <n v="798"/>
        <n v="166"/>
        <n v="885"/>
        <n v="162"/>
        <n v="25559"/>
        <n v="354"/>
        <n v="976"/>
        <n v="17617"/>
        <n v="30400"/>
        <n v="38537"/>
        <n v="5885"/>
        <n v="200"/>
        <n v="6970"/>
        <n v="1514"/>
        <n v="1527"/>
        <n v="6711"/>
        <n v="1049"/>
        <n v="4516"/>
        <n v="417"/>
        <n v="509"/>
        <n v="148"/>
        <n v="107"/>
        <n v="1105"/>
        <n v="191"/>
        <n v="5"/>
        <n v="7"/>
        <n v="2461"/>
        <n v="636"/>
        <m/>
      </sharedItems>
    </cacheField>
    <cacheField name="月销售额(£)" numFmtId="0">
      <sharedItems containsString="0" containsBlank="1" containsNumber="1" minValue="0" maxValue="819710.703262709" count="38">
        <n v="665.341417322831"/>
        <n v="0"/>
        <n v="6157.78"/>
        <n v="24699.81"/>
        <n v="7911.54"/>
        <n v="5094.04"/>
        <n v="647.73"/>
        <n v="75773.8381578947"/>
        <n v="3670.64"/>
        <n v="15952.02"/>
        <n v="4286.12"/>
        <n v="20346.15"/>
        <n v="3724.38"/>
        <n v="819710.703262709"/>
        <n v="4173.66"/>
        <n v="12759.5733333333"/>
        <n v="214342.835909091"/>
        <n v="257043.692307692"/>
        <n v="773345.835238095"/>
        <n v="214939.816666667"/>
        <n v="2326"/>
        <n v="50065.1"/>
        <n v="6308.33333333333"/>
        <n v="11040.21"/>
        <n v="96411.90375"/>
        <n v="10332.65"/>
        <n v="25967"/>
        <n v="8335.83"/>
        <n v="7675.72"/>
        <n v="4113.32363636364"/>
        <n v="1051.64355555556"/>
        <n v="19337.5"/>
        <n v="4508.23666666667"/>
        <n v="82.7461538461539"/>
        <n v="98.875"/>
        <n v="62269.4525"/>
        <n v="24718.14"/>
        <m/>
      </sharedItems>
    </cacheField>
    <cacheField name="近1年销量" numFmtId="0">
      <sharedItems containsString="0" containsBlank="1" containsNumber="1" containsInteger="1" minValue="0" maxValue="459103" count="39">
        <n v="268"/>
        <n v="0"/>
        <n v="6305"/>
        <n v="7314"/>
        <n v="6802"/>
        <n v="1686"/>
        <n v="274"/>
        <n v="20548"/>
        <n v="3266"/>
        <n v="12806"/>
        <n v="2418"/>
        <n v="17733"/>
        <n v="6925"/>
        <n v="250627"/>
        <n v="1642"/>
        <n v="4125"/>
        <n v="170893"/>
        <n v="459103"/>
        <n v="312654"/>
        <n v="52536"/>
        <n v="953"/>
        <n v="61511"/>
        <n v="18131"/>
        <n v="13676"/>
        <n v="81363"/>
        <n v="11209"/>
        <n v="72868"/>
        <n v="5183"/>
        <n v="8431"/>
        <n v="619"/>
        <n v="336"/>
        <n v="10244"/>
        <n v="1619"/>
        <n v="7"/>
        <n v="74"/>
        <n v="68"/>
        <n v="7999"/>
        <n v="2130"/>
        <m/>
      </sharedItems>
    </cacheField>
    <cacheField name="近一年销售额(£)" numFmtId="0">
      <sharedItems containsString="0" containsBlank="1" containsNumber="1" minValue="0" maxValue="8037937.10343217" count="39">
        <n v="7429.64582677161"/>
        <n v="0"/>
        <n v="128558.95"/>
        <n v="186433.86"/>
        <n v="86657.48"/>
        <n v="43819.14"/>
        <n v="6573.26"/>
        <n v="746762.986315789"/>
        <n v="88149.34"/>
        <n v="255991.94"/>
        <n v="62432.76"/>
        <n v="407681.67"/>
        <n v="159205.75"/>
        <n v="8037937.10343217"/>
        <n v="19359.18"/>
        <n v="53927.5"/>
        <n v="2079224.05954545"/>
        <n v="3881892.44307692"/>
        <n v="6274221.36571429"/>
        <n v="1918789.84"/>
        <n v="11083.39"/>
        <n v="441829.894705882"/>
        <n v="75545.8333333333"/>
        <n v="98877.48"/>
        <n v="1168881.19875"/>
        <n v="110408.65"/>
        <n v="418991"/>
        <n v="103608.17"/>
        <n v="127139.48"/>
        <n v="17203.6981818182"/>
        <n v="3302.35733333333"/>
        <n v="179270"/>
        <n v="38213.7966666667"/>
        <n v="86.45"/>
        <n v="1224.64307692308"/>
        <n v="960.5"/>
        <n v="202394.6975"/>
        <n v="82782.45"/>
        <m/>
      </sharedItems>
    </cacheField>
    <cacheField name="平均价格(£)" numFmtId="0">
      <sharedItems containsString="0" containsBlank="1" containsNumber="1" minValue="4.16666666666667" maxValue="132.88" count="41">
        <n v="27.722559055118"/>
        <n v="22"/>
        <n v="20.39"/>
        <n v="25.49"/>
        <n v="12.74"/>
        <n v="25.99"/>
        <n v="23.99"/>
        <n v="36.3423684210526"/>
        <n v="26.99"/>
        <n v="19.99"/>
        <n v="25.82"/>
        <n v="22.99"/>
        <n v="132.88"/>
        <n v="32.0713135593219"/>
        <n v="11.79"/>
        <n v="13.0733333333333"/>
        <n v="12.1668181818182"/>
        <n v="8.45538461538462"/>
        <n v="20.067619047619"/>
        <n v="36.5233333333333"/>
        <n v="11.63"/>
        <n v="7.18294117647059"/>
        <n v="4.16666666666667"/>
        <n v="7.23"/>
        <n v="14.36625"/>
        <n v="9.85"/>
        <n v="5.75"/>
        <n v="15.08"/>
        <n v="27.7927272727273"/>
        <n v="9.82844444444445"/>
        <n v="17.5"/>
        <n v="23.6033333333333"/>
        <n v="12.35"/>
        <n v="16.5492307692308"/>
        <n v="14.125"/>
        <n v="15.95"/>
        <n v="72.09"/>
        <n v="17.8875"/>
        <n v="25.3025"/>
        <n v="38.865"/>
        <m/>
      </sharedItems>
    </cacheField>
    <cacheField name="市场份额" numFmtId="0">
      <sharedItems containsString="0" containsBlank="1" containsNumber="1" minValue="0" maxValue="1" count="36">
        <n v="0.0112201963534362"/>
        <n v="0"/>
        <n v="0.141187470780739"/>
        <n v="0.453015427769986"/>
        <n v="0.290322580645161"/>
        <n v="0.0916316035530622"/>
        <n v="0.0126227208976157"/>
        <n v="0.492674858223062"/>
        <n v="0.0321361058601134"/>
        <n v="0.188563327032136"/>
        <n v="0.0392249527410208"/>
        <n v="0.209120982986767"/>
        <n v="0.0382797731568998"/>
        <n v="1"/>
        <n v="0.266165413533835"/>
        <n v="0.733834586466165"/>
        <n v="0.150040454797087"/>
        <n v="0.25891070135843"/>
        <n v="0.328211897968743"/>
        <n v="0.0501213643912618"/>
        <n v="0.00170335987735809"/>
        <n v="0.0593620917259294"/>
        <n v="0.0128944342716007"/>
        <n v="0.013005152663629"/>
        <n v="0.0571562406847507"/>
        <n v="0.00893412255674318"/>
        <n v="0.0384618660307456"/>
        <n v="0.00355150534429162"/>
        <n v="0.00433505088787634"/>
        <n v="0.00126048630924499"/>
        <n v="0.000911297534386578"/>
        <n v="0.00941106332240344"/>
        <n v="0.00162670868287697"/>
        <n v="4.25839969339522e-5"/>
        <n v="5.96175957075331e-5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">
  <r>
    <x v="0"/>
    <x v="0"/>
    <x v="0"/>
    <x v="0"/>
    <x v="0"/>
    <x v="0"/>
    <x v="0"/>
  </r>
  <r>
    <x v="1"/>
    <x v="1"/>
    <x v="1"/>
    <x v="1"/>
    <x v="1"/>
    <x v="1"/>
    <x v="1"/>
  </r>
  <r>
    <x v="2"/>
    <x v="2"/>
    <x v="2"/>
    <x v="2"/>
    <x v="2"/>
    <x v="2"/>
    <x v="2"/>
  </r>
  <r>
    <x v="3"/>
    <x v="3"/>
    <x v="3"/>
    <x v="3"/>
    <x v="3"/>
    <x v="3"/>
    <x v="3"/>
  </r>
  <r>
    <x v="4"/>
    <x v="4"/>
    <x v="4"/>
    <x v="4"/>
    <x v="4"/>
    <x v="4"/>
    <x v="4"/>
  </r>
  <r>
    <x v="5"/>
    <x v="5"/>
    <x v="5"/>
    <x v="5"/>
    <x v="5"/>
    <x v="5"/>
    <x v="5"/>
  </r>
  <r>
    <x v="6"/>
    <x v="6"/>
    <x v="6"/>
    <x v="6"/>
    <x v="6"/>
    <x v="6"/>
    <x v="6"/>
  </r>
  <r>
    <x v="7"/>
    <x v="7"/>
    <x v="7"/>
    <x v="7"/>
    <x v="7"/>
    <x v="7"/>
    <x v="7"/>
  </r>
  <r>
    <x v="8"/>
    <x v="8"/>
    <x v="8"/>
    <x v="8"/>
    <x v="8"/>
    <x v="8"/>
    <x v="8"/>
  </r>
  <r>
    <x v="9"/>
    <x v="9"/>
    <x v="9"/>
    <x v="9"/>
    <x v="9"/>
    <x v="9"/>
    <x v="9"/>
  </r>
  <r>
    <x v="2"/>
    <x v="10"/>
    <x v="10"/>
    <x v="10"/>
    <x v="10"/>
    <x v="10"/>
    <x v="10"/>
  </r>
  <r>
    <x v="10"/>
    <x v="11"/>
    <x v="11"/>
    <x v="11"/>
    <x v="11"/>
    <x v="11"/>
    <x v="11"/>
  </r>
  <r>
    <x v="6"/>
    <x v="12"/>
    <x v="12"/>
    <x v="12"/>
    <x v="12"/>
    <x v="11"/>
    <x v="12"/>
  </r>
  <r>
    <x v="7"/>
    <x v="1"/>
    <x v="1"/>
    <x v="1"/>
    <x v="1"/>
    <x v="12"/>
    <x v="1"/>
  </r>
  <r>
    <x v="11"/>
    <x v="13"/>
    <x v="13"/>
    <x v="13"/>
    <x v="13"/>
    <x v="13"/>
    <x v="13"/>
  </r>
  <r>
    <x v="12"/>
    <x v="14"/>
    <x v="14"/>
    <x v="14"/>
    <x v="14"/>
    <x v="14"/>
    <x v="14"/>
  </r>
  <r>
    <x v="12"/>
    <x v="15"/>
    <x v="15"/>
    <x v="15"/>
    <x v="15"/>
    <x v="15"/>
    <x v="15"/>
  </r>
  <r>
    <x v="13"/>
    <x v="16"/>
    <x v="16"/>
    <x v="16"/>
    <x v="16"/>
    <x v="16"/>
    <x v="16"/>
  </r>
  <r>
    <x v="14"/>
    <x v="17"/>
    <x v="17"/>
    <x v="17"/>
    <x v="17"/>
    <x v="17"/>
    <x v="17"/>
  </r>
  <r>
    <x v="15"/>
    <x v="18"/>
    <x v="18"/>
    <x v="18"/>
    <x v="18"/>
    <x v="18"/>
    <x v="18"/>
  </r>
  <r>
    <x v="16"/>
    <x v="19"/>
    <x v="19"/>
    <x v="19"/>
    <x v="19"/>
    <x v="19"/>
    <x v="19"/>
  </r>
  <r>
    <x v="17"/>
    <x v="20"/>
    <x v="20"/>
    <x v="20"/>
    <x v="20"/>
    <x v="20"/>
    <x v="20"/>
  </r>
  <r>
    <x v="18"/>
    <x v="21"/>
    <x v="21"/>
    <x v="21"/>
    <x v="21"/>
    <x v="21"/>
    <x v="21"/>
  </r>
  <r>
    <x v="19"/>
    <x v="22"/>
    <x v="22"/>
    <x v="22"/>
    <x v="22"/>
    <x v="22"/>
    <x v="22"/>
  </r>
  <r>
    <x v="20"/>
    <x v="23"/>
    <x v="23"/>
    <x v="23"/>
    <x v="23"/>
    <x v="23"/>
    <x v="23"/>
  </r>
  <r>
    <x v="21"/>
    <x v="24"/>
    <x v="24"/>
    <x v="24"/>
    <x v="24"/>
    <x v="24"/>
    <x v="24"/>
  </r>
  <r>
    <x v="22"/>
    <x v="25"/>
    <x v="25"/>
    <x v="25"/>
    <x v="25"/>
    <x v="25"/>
    <x v="25"/>
  </r>
  <r>
    <x v="23"/>
    <x v="26"/>
    <x v="26"/>
    <x v="26"/>
    <x v="26"/>
    <x v="26"/>
    <x v="26"/>
  </r>
  <r>
    <x v="24"/>
    <x v="27"/>
    <x v="27"/>
    <x v="27"/>
    <x v="27"/>
    <x v="9"/>
    <x v="27"/>
  </r>
  <r>
    <x v="25"/>
    <x v="28"/>
    <x v="28"/>
    <x v="28"/>
    <x v="28"/>
    <x v="27"/>
    <x v="28"/>
  </r>
  <r>
    <x v="26"/>
    <x v="29"/>
    <x v="29"/>
    <x v="29"/>
    <x v="29"/>
    <x v="28"/>
    <x v="29"/>
  </r>
  <r>
    <x v="27"/>
    <x v="30"/>
    <x v="30"/>
    <x v="30"/>
    <x v="30"/>
    <x v="29"/>
    <x v="30"/>
  </r>
  <r>
    <x v="28"/>
    <x v="31"/>
    <x v="31"/>
    <x v="31"/>
    <x v="31"/>
    <x v="30"/>
    <x v="31"/>
  </r>
  <r>
    <x v="29"/>
    <x v="32"/>
    <x v="32"/>
    <x v="32"/>
    <x v="32"/>
    <x v="31"/>
    <x v="32"/>
  </r>
  <r>
    <x v="30"/>
    <x v="1"/>
    <x v="1"/>
    <x v="33"/>
    <x v="33"/>
    <x v="32"/>
    <x v="1"/>
  </r>
  <r>
    <x v="31"/>
    <x v="33"/>
    <x v="33"/>
    <x v="34"/>
    <x v="34"/>
    <x v="33"/>
    <x v="33"/>
  </r>
  <r>
    <x v="32"/>
    <x v="34"/>
    <x v="34"/>
    <x v="35"/>
    <x v="35"/>
    <x v="34"/>
    <x v="34"/>
  </r>
  <r>
    <x v="33"/>
    <x v="1"/>
    <x v="1"/>
    <x v="1"/>
    <x v="1"/>
    <x v="35"/>
    <x v="1"/>
  </r>
  <r>
    <x v="34"/>
    <x v="1"/>
    <x v="1"/>
    <x v="1"/>
    <x v="1"/>
    <x v="36"/>
    <x v="1"/>
  </r>
  <r>
    <x v="35"/>
    <x v="1"/>
    <x v="1"/>
    <x v="1"/>
    <x v="1"/>
    <x v="37"/>
    <x v="1"/>
  </r>
  <r>
    <x v="36"/>
    <x v="35"/>
    <x v="35"/>
    <x v="36"/>
    <x v="36"/>
    <x v="38"/>
    <x v="13"/>
  </r>
  <r>
    <x v="37"/>
    <x v="36"/>
    <x v="36"/>
    <x v="37"/>
    <x v="37"/>
    <x v="39"/>
    <x v="13"/>
  </r>
  <r>
    <x v="38"/>
    <x v="37"/>
    <x v="37"/>
    <x v="38"/>
    <x v="38"/>
    <x v="40"/>
    <x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43" firstHeaderRow="1" firstDataRow="1" firstDataCol="1"/>
  <pivotFields count="7">
    <pivotField axis="axisRow" compact="0" showAll="0">
      <items count="40">
        <item x="8"/>
        <item x="12"/>
        <item x="1"/>
        <item x="35"/>
        <item x="18"/>
        <item x="3"/>
        <item x="20"/>
        <item x="29"/>
        <item x="16"/>
        <item x="10"/>
        <item x="28"/>
        <item x="17"/>
        <item x="24"/>
        <item x="14"/>
        <item x="4"/>
        <item x="25"/>
        <item x="2"/>
        <item x="0"/>
        <item x="9"/>
        <item x="36"/>
        <item x="30"/>
        <item x="7"/>
        <item x="37"/>
        <item x="21"/>
        <item x="31"/>
        <item x="33"/>
        <item x="13"/>
        <item x="26"/>
        <item x="22"/>
        <item x="32"/>
        <item x="27"/>
        <item x="34"/>
        <item x="11"/>
        <item x="5"/>
        <item x="15"/>
        <item x="23"/>
        <item x="6"/>
        <item x="19"/>
        <item x="38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  <pivotField compact="0" showAll="0"/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Items count="1">
    <i/>
  </colItems>
  <dataFields count="1">
    <dataField name="求和项:近一年销售额(£)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B4:E11" totalsRowShown="0">
  <autoFilter xmlns:etc="http://www.wps.cn/officeDocument/2017/etCustomData" ref="B4:E11" etc:filterBottomFollowUsedRange="0"/>
  <tableColumns count="4">
    <tableColumn id="1" name="工作簿"/>
    <tableColumn id="2" name="工作表"/>
    <tableColumn id="3" name="合并状态"/>
    <tableColumn id="4" name="合并后的位置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1"/>
  <sheetViews>
    <sheetView showGridLines="0" workbookViewId="0">
      <selection activeCell="A1" sqref="A1"/>
    </sheetView>
  </sheetViews>
  <sheetFormatPr defaultColWidth="8.88888888888889" defaultRowHeight="14.4" outlineLevelCol="4"/>
  <cols>
    <col min="2" max="2" width="45.6666666666667" customWidth="1"/>
    <col min="3" max="3" width="7.66666666666667" customWidth="1"/>
    <col min="4" max="4" width="9.66666666666667" customWidth="1"/>
    <col min="5" max="5" width="14.1111111111111" customWidth="1"/>
  </cols>
  <sheetData>
    <row r="2" spans="2:5">
      <c r="B2" s="11" t="s">
        <v>0</v>
      </c>
    </row>
    <row r="4" spans="2:5">
      <c r="B4" t="s">
        <v>1</v>
      </c>
      <c r="C4" t="s">
        <v>2</v>
      </c>
      <c r="D4" t="s">
        <v>3</v>
      </c>
      <c r="E4" t="s">
        <v>4</v>
      </c>
    </row>
    <row r="5" spans="2:5">
      <c r="B5" t="s">
        <v>5</v>
      </c>
      <c r="C5" t="s">
        <v>6</v>
      </c>
      <c r="D5" t="s">
        <v>7</v>
      </c>
      <c r="E5" s="12" t="s">
        <v>8</v>
      </c>
    </row>
    <row r="6" spans="2:5">
      <c r="B6" t="s">
        <v>9</v>
      </c>
      <c r="C6" t="s">
        <v>6</v>
      </c>
      <c r="D6" t="s">
        <v>7</v>
      </c>
      <c r="E6" s="12" t="s">
        <v>10</v>
      </c>
    </row>
    <row r="7" spans="2:5">
      <c r="B7" t="s">
        <v>11</v>
      </c>
      <c r="C7" t="s">
        <v>6</v>
      </c>
      <c r="D7" t="s">
        <v>7</v>
      </c>
      <c r="E7" s="12" t="s">
        <v>12</v>
      </c>
    </row>
    <row r="8" spans="2:5">
      <c r="B8" t="s">
        <v>13</v>
      </c>
      <c r="C8" t="s">
        <v>6</v>
      </c>
      <c r="D8" t="s">
        <v>7</v>
      </c>
      <c r="E8" s="12" t="s">
        <v>14</v>
      </c>
    </row>
    <row r="9" spans="2:5">
      <c r="B9" t="s">
        <v>15</v>
      </c>
      <c r="C9" t="s">
        <v>6</v>
      </c>
      <c r="D9" t="s">
        <v>7</v>
      </c>
      <c r="E9" s="12" t="s">
        <v>16</v>
      </c>
    </row>
    <row r="10" spans="2:5">
      <c r="B10" t="s">
        <v>17</v>
      </c>
      <c r="C10" t="s">
        <v>6</v>
      </c>
      <c r="D10" t="s">
        <v>7</v>
      </c>
      <c r="E10" s="12" t="s">
        <v>18</v>
      </c>
    </row>
    <row r="11" spans="2:5">
      <c r="B11" t="s">
        <v>19</v>
      </c>
      <c r="C11" t="s">
        <v>6</v>
      </c>
      <c r="D11" t="s">
        <v>7</v>
      </c>
      <c r="E11" s="12" t="s">
        <v>20</v>
      </c>
    </row>
  </sheetData>
  <hyperlinks>
    <hyperlink ref="E5" location="总表!B1:H9" display="总表!B1:H9"/>
    <hyperlink ref="E6" location="总表!B10:H18" display="总表!B10:H18"/>
    <hyperlink ref="E7" location="总表!B19:H20" display="总表!B19:H20"/>
    <hyperlink ref="E8" location="总表!B21:H24" display="总表!B21:H24"/>
    <hyperlink ref="E9" location="总表!B25:H48" display="总表!B25:H48"/>
    <hyperlink ref="E10" location="总表!B49:H51" display="总表!B49:H51"/>
    <hyperlink ref="E11" location="总表!B52:H53" display="总表!B52:H53"/>
  </hyperlink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43"/>
  <sheetViews>
    <sheetView workbookViewId="0">
      <selection activeCell="K1" sqref="K1"/>
    </sheetView>
  </sheetViews>
  <sheetFormatPr defaultColWidth="8.88888888888889" defaultRowHeight="14.4" outlineLevelCol="5"/>
  <cols>
    <col min="1" max="1" width="33.2222222222222"/>
    <col min="2" max="2" width="27"/>
    <col min="5" max="6" width="16.5555555555556" customWidth="1"/>
  </cols>
  <sheetData>
    <row r="3" spans="1:6">
      <c r="A3" t="s">
        <v>21</v>
      </c>
      <c r="B3" t="s">
        <v>22</v>
      </c>
      <c r="C3"/>
      <c r="E3" t="s">
        <v>21</v>
      </c>
      <c r="F3" t="s">
        <v>22</v>
      </c>
    </row>
    <row r="4" spans="1:6">
      <c r="A4" t="s">
        <v>23</v>
      </c>
      <c r="B4">
        <v>88149.34</v>
      </c>
      <c r="C4"/>
      <c r="E4" t="s">
        <v>23</v>
      </c>
      <c r="F4">
        <v>88149.34</v>
      </c>
    </row>
    <row r="5" spans="1:6">
      <c r="A5" t="s">
        <v>24</v>
      </c>
      <c r="B5">
        <v>73286.68</v>
      </c>
      <c r="C5"/>
      <c r="E5" t="s">
        <v>24</v>
      </c>
      <c r="F5">
        <v>73286.68</v>
      </c>
    </row>
    <row r="6" spans="1:6">
      <c r="A6" t="s">
        <v>25</v>
      </c>
      <c r="B6">
        <v>0</v>
      </c>
      <c r="C6"/>
      <c r="E6" t="s">
        <v>25</v>
      </c>
      <c r="F6">
        <v>0</v>
      </c>
    </row>
    <row r="7" spans="1:6">
      <c r="A7" t="s">
        <v>26</v>
      </c>
      <c r="B7">
        <v>0</v>
      </c>
      <c r="C7"/>
      <c r="E7" t="s">
        <v>26</v>
      </c>
      <c r="F7">
        <v>0</v>
      </c>
    </row>
    <row r="8" spans="1:6">
      <c r="A8" t="s">
        <v>27</v>
      </c>
      <c r="B8">
        <v>441829.894705882</v>
      </c>
      <c r="C8"/>
      <c r="E8" t="s">
        <v>27</v>
      </c>
      <c r="F8">
        <v>441829.894705882</v>
      </c>
    </row>
    <row r="9" spans="1:6">
      <c r="A9" t="s">
        <v>28</v>
      </c>
      <c r="B9">
        <v>186433.86</v>
      </c>
      <c r="C9"/>
      <c r="E9" t="s">
        <v>28</v>
      </c>
      <c r="F9">
        <v>186433.86</v>
      </c>
    </row>
    <row r="10" spans="1:6">
      <c r="A10" t="s">
        <v>29</v>
      </c>
      <c r="B10">
        <v>98877.48</v>
      </c>
      <c r="C10"/>
      <c r="E10" t="s">
        <v>29</v>
      </c>
      <c r="F10">
        <v>98877.48</v>
      </c>
    </row>
    <row r="11" spans="1:6">
      <c r="A11" t="s">
        <v>30</v>
      </c>
      <c r="B11">
        <v>38213.7966666667</v>
      </c>
      <c r="C11"/>
      <c r="E11" t="s">
        <v>30</v>
      </c>
      <c r="F11">
        <v>38213.7966666667</v>
      </c>
    </row>
    <row r="12" spans="1:6">
      <c r="A12" t="s">
        <v>31</v>
      </c>
      <c r="B12">
        <v>1918789.84</v>
      </c>
      <c r="C12"/>
      <c r="E12" t="s">
        <v>31</v>
      </c>
      <c r="F12">
        <v>1918789.84</v>
      </c>
    </row>
    <row r="13" spans="1:6">
      <c r="A13" t="s">
        <v>32</v>
      </c>
      <c r="B13">
        <v>407681.67</v>
      </c>
      <c r="C13"/>
      <c r="E13" t="s">
        <v>32</v>
      </c>
      <c r="F13">
        <v>407681.67</v>
      </c>
    </row>
    <row r="14" spans="1:6">
      <c r="A14" t="s">
        <v>33</v>
      </c>
      <c r="B14">
        <v>179270</v>
      </c>
      <c r="C14"/>
      <c r="E14" t="s">
        <v>33</v>
      </c>
      <c r="F14">
        <v>179270</v>
      </c>
    </row>
    <row r="15" spans="1:6">
      <c r="A15" t="s">
        <v>34</v>
      </c>
      <c r="B15">
        <v>11083.39</v>
      </c>
      <c r="C15"/>
      <c r="E15" t="s">
        <v>34</v>
      </c>
      <c r="F15">
        <v>11083.39</v>
      </c>
    </row>
    <row r="16" spans="1:6">
      <c r="A16" t="s">
        <v>35</v>
      </c>
      <c r="B16">
        <v>103608.17</v>
      </c>
      <c r="C16"/>
      <c r="E16" t="s">
        <v>35</v>
      </c>
      <c r="F16">
        <v>103608.17</v>
      </c>
    </row>
    <row r="17" spans="1:6">
      <c r="A17" t="s">
        <v>36</v>
      </c>
      <c r="B17">
        <v>3881892.44307692</v>
      </c>
      <c r="C17"/>
      <c r="E17" t="s">
        <v>36</v>
      </c>
      <c r="F17">
        <v>3881892.44307692</v>
      </c>
    </row>
    <row r="18" spans="1:6">
      <c r="A18" t="s">
        <v>37</v>
      </c>
      <c r="B18">
        <v>86657.48</v>
      </c>
      <c r="C18"/>
      <c r="E18" t="s">
        <v>37</v>
      </c>
      <c r="F18">
        <v>86657.48</v>
      </c>
    </row>
    <row r="19" spans="1:6">
      <c r="A19" t="s">
        <v>38</v>
      </c>
      <c r="B19">
        <v>127139.48</v>
      </c>
      <c r="C19"/>
      <c r="E19" t="s">
        <v>38</v>
      </c>
      <c r="F19">
        <v>127139.48</v>
      </c>
    </row>
    <row r="20" spans="1:6">
      <c r="A20" t="s">
        <v>39</v>
      </c>
      <c r="B20">
        <v>190991.71</v>
      </c>
      <c r="C20"/>
      <c r="E20" t="s">
        <v>39</v>
      </c>
      <c r="F20">
        <v>190991.71</v>
      </c>
    </row>
    <row r="21" spans="1:6">
      <c r="A21" t="s">
        <v>40</v>
      </c>
      <c r="B21">
        <v>7429.64582677161</v>
      </c>
      <c r="E21" t="s">
        <v>40</v>
      </c>
      <c r="F21">
        <v>7429.64582677161</v>
      </c>
    </row>
    <row r="22" spans="1:6">
      <c r="A22" t="s">
        <v>41</v>
      </c>
      <c r="B22">
        <v>255991.94</v>
      </c>
      <c r="E22" t="s">
        <v>41</v>
      </c>
      <c r="F22">
        <v>255991.94</v>
      </c>
    </row>
    <row r="23" spans="1:6">
      <c r="A23" t="s">
        <v>42</v>
      </c>
      <c r="B23">
        <v>202394.6975</v>
      </c>
      <c r="E23" t="s">
        <v>42</v>
      </c>
      <c r="F23">
        <v>202394.6975</v>
      </c>
    </row>
    <row r="24" spans="1:6">
      <c r="A24" t="s">
        <v>43</v>
      </c>
      <c r="B24">
        <v>86.45</v>
      </c>
      <c r="E24" t="s">
        <v>43</v>
      </c>
      <c r="F24">
        <v>86.45</v>
      </c>
    </row>
    <row r="25" spans="1:6">
      <c r="A25" t="s">
        <v>44</v>
      </c>
      <c r="B25">
        <v>746762.986315789</v>
      </c>
      <c r="E25" t="s">
        <v>44</v>
      </c>
      <c r="F25">
        <v>746762.986315789</v>
      </c>
    </row>
    <row r="26" spans="1:6">
      <c r="A26" t="s">
        <v>45</v>
      </c>
      <c r="B26">
        <v>82782.45</v>
      </c>
      <c r="E26" t="s">
        <v>45</v>
      </c>
      <c r="F26">
        <v>82782.45</v>
      </c>
    </row>
    <row r="27" spans="1:6">
      <c r="A27" t="s">
        <v>46</v>
      </c>
      <c r="B27">
        <v>1168881.19875</v>
      </c>
      <c r="E27" t="s">
        <v>46</v>
      </c>
      <c r="F27">
        <v>1168881.19875</v>
      </c>
    </row>
    <row r="28" spans="1:6">
      <c r="A28" t="s">
        <v>47</v>
      </c>
      <c r="B28">
        <v>1224.64307692308</v>
      </c>
      <c r="E28" t="s">
        <v>47</v>
      </c>
      <c r="F28">
        <v>1224.64307692308</v>
      </c>
    </row>
    <row r="29" spans="1:6">
      <c r="A29" t="s">
        <v>48</v>
      </c>
      <c r="B29">
        <v>0</v>
      </c>
      <c r="E29" t="s">
        <v>48</v>
      </c>
      <c r="F29">
        <v>0</v>
      </c>
    </row>
    <row r="30" spans="1:6">
      <c r="A30" t="s">
        <v>49</v>
      </c>
      <c r="B30">
        <v>2079224.05954545</v>
      </c>
      <c r="E30" t="s">
        <v>49</v>
      </c>
      <c r="F30">
        <v>2079224.05954545</v>
      </c>
    </row>
    <row r="31" spans="1:6">
      <c r="A31" t="s">
        <v>50</v>
      </c>
      <c r="B31">
        <v>17203.6981818182</v>
      </c>
      <c r="E31" t="s">
        <v>50</v>
      </c>
      <c r="F31">
        <v>17203.6981818182</v>
      </c>
    </row>
    <row r="32" spans="1:6">
      <c r="A32" t="s">
        <v>51</v>
      </c>
      <c r="B32">
        <v>110408.65</v>
      </c>
      <c r="E32" t="s">
        <v>51</v>
      </c>
      <c r="F32">
        <v>110408.65</v>
      </c>
    </row>
    <row r="33" spans="1:6">
      <c r="A33" t="s">
        <v>52</v>
      </c>
      <c r="B33">
        <v>960.5</v>
      </c>
      <c r="E33" t="s">
        <v>52</v>
      </c>
      <c r="F33">
        <v>960.5</v>
      </c>
    </row>
    <row r="34" spans="1:6">
      <c r="A34" t="s">
        <v>53</v>
      </c>
      <c r="B34">
        <v>3302.35733333333</v>
      </c>
      <c r="E34" t="s">
        <v>53</v>
      </c>
      <c r="F34">
        <v>3302.35733333333</v>
      </c>
    </row>
    <row r="35" spans="1:6">
      <c r="A35" t="s">
        <v>54</v>
      </c>
      <c r="B35">
        <v>0</v>
      </c>
      <c r="E35" t="s">
        <v>54</v>
      </c>
      <c r="F35">
        <v>0</v>
      </c>
    </row>
    <row r="36" spans="1:6">
      <c r="A36" t="s">
        <v>55</v>
      </c>
      <c r="B36">
        <v>8037937.10343217</v>
      </c>
      <c r="E36" t="s">
        <v>55</v>
      </c>
      <c r="F36">
        <v>8037937.10343217</v>
      </c>
    </row>
    <row r="37" spans="1:6">
      <c r="A37" t="s">
        <v>56</v>
      </c>
      <c r="B37">
        <v>43819.14</v>
      </c>
      <c r="E37" t="s">
        <v>56</v>
      </c>
      <c r="F37">
        <v>43819.14</v>
      </c>
    </row>
    <row r="38" spans="1:6">
      <c r="A38" t="s">
        <v>57</v>
      </c>
      <c r="B38">
        <v>6274221.36571429</v>
      </c>
      <c r="E38" t="s">
        <v>57</v>
      </c>
      <c r="F38">
        <v>6274221.36571429</v>
      </c>
    </row>
    <row r="39" spans="1:6">
      <c r="A39" t="s">
        <v>58</v>
      </c>
      <c r="B39">
        <v>418991</v>
      </c>
      <c r="E39" t="s">
        <v>58</v>
      </c>
      <c r="F39">
        <v>418991</v>
      </c>
    </row>
    <row r="40" spans="1:6">
      <c r="A40" t="s">
        <v>59</v>
      </c>
      <c r="B40">
        <v>165779.01</v>
      </c>
      <c r="E40" t="s">
        <v>59</v>
      </c>
      <c r="F40">
        <v>165779.01</v>
      </c>
    </row>
    <row r="41" spans="1:6">
      <c r="A41" t="s">
        <v>60</v>
      </c>
      <c r="B41">
        <v>75545.8333333333</v>
      </c>
      <c r="E41" t="s">
        <v>60</v>
      </c>
      <c r="F41">
        <v>75545.8333333333</v>
      </c>
    </row>
    <row r="42" spans="1:6">
      <c r="A42" t="s">
        <v>61</v>
      </c>
      <c r="E42" t="s">
        <v>61</v>
      </c>
    </row>
    <row r="43" spans="1:6">
      <c r="A43" t="s">
        <v>62</v>
      </c>
      <c r="B43">
        <v>27526851.9634594</v>
      </c>
      <c r="E43" t="s">
        <v>62</v>
      </c>
      <c r="F43">
        <v>27526851.9634594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workbookViewId="0">
      <selection activeCell="A1" sqref="$A1:$XFD1048576"/>
    </sheetView>
  </sheetViews>
  <sheetFormatPr defaultColWidth="8.88888888888889" defaultRowHeight="14.4" outlineLevelCol="6"/>
  <cols>
    <col min="1" max="1" width="25" customWidth="1"/>
    <col min="2" max="5" width="13" customWidth="1"/>
    <col min="6" max="7" width="10" customWidth="1"/>
  </cols>
  <sheetData>
    <row r="1" spans="1:7">
      <c r="A1" s="3" t="s">
        <v>21</v>
      </c>
      <c r="B1" s="4" t="s">
        <v>63</v>
      </c>
      <c r="C1" s="4" t="s">
        <v>64</v>
      </c>
      <c r="D1" s="4" t="s">
        <v>65</v>
      </c>
      <c r="E1" s="4" t="s">
        <v>66</v>
      </c>
      <c r="F1" s="5" t="s">
        <v>67</v>
      </c>
      <c r="G1" s="6" t="s">
        <v>68</v>
      </c>
    </row>
    <row r="2" spans="1:7">
      <c r="A2" s="7" t="s">
        <v>40</v>
      </c>
      <c r="B2" s="8">
        <v>24</v>
      </c>
      <c r="C2" s="8">
        <v>665.341417322831</v>
      </c>
      <c r="D2" s="8">
        <v>268</v>
      </c>
      <c r="E2" s="8">
        <v>7429.64582677161</v>
      </c>
      <c r="F2" s="9">
        <v>27.722559055118</v>
      </c>
      <c r="G2" s="10">
        <v>0.0112201963534362</v>
      </c>
    </row>
    <row r="3" spans="1:7">
      <c r="A3" s="7" t="s">
        <v>25</v>
      </c>
      <c r="B3" s="8">
        <v>0</v>
      </c>
      <c r="C3" s="8">
        <v>0</v>
      </c>
      <c r="D3" s="8">
        <v>0</v>
      </c>
      <c r="E3" s="8">
        <v>0</v>
      </c>
      <c r="F3" s="9">
        <v>22</v>
      </c>
      <c r="G3" s="10">
        <v>0</v>
      </c>
    </row>
    <row r="4" spans="1:7">
      <c r="A4" s="7" t="s">
        <v>39</v>
      </c>
      <c r="B4" s="8">
        <v>302</v>
      </c>
      <c r="C4" s="8">
        <v>6157.78</v>
      </c>
      <c r="D4" s="8">
        <v>6305</v>
      </c>
      <c r="E4" s="8">
        <v>128558.95</v>
      </c>
      <c r="F4" s="9">
        <v>20.39</v>
      </c>
      <c r="G4" s="10">
        <v>0.141187470780739</v>
      </c>
    </row>
    <row r="5" spans="1:7">
      <c r="A5" s="7" t="s">
        <v>28</v>
      </c>
      <c r="B5" s="8">
        <v>969</v>
      </c>
      <c r="C5" s="8">
        <v>24699.81</v>
      </c>
      <c r="D5" s="8">
        <v>7314</v>
      </c>
      <c r="E5" s="8">
        <v>186433.86</v>
      </c>
      <c r="F5" s="9">
        <v>25.49</v>
      </c>
      <c r="G5" s="10">
        <v>0.453015427769986</v>
      </c>
    </row>
    <row r="6" spans="1:7">
      <c r="A6" s="7" t="s">
        <v>37</v>
      </c>
      <c r="B6" s="8">
        <v>621</v>
      </c>
      <c r="C6" s="8">
        <v>7911.54</v>
      </c>
      <c r="D6" s="8">
        <v>6802</v>
      </c>
      <c r="E6" s="8">
        <v>86657.48</v>
      </c>
      <c r="F6" s="9">
        <v>12.74</v>
      </c>
      <c r="G6" s="10">
        <v>0.290322580645161</v>
      </c>
    </row>
    <row r="7" spans="1:7">
      <c r="A7" s="7" t="s">
        <v>56</v>
      </c>
      <c r="B7" s="8">
        <v>196</v>
      </c>
      <c r="C7" s="8">
        <v>5094.04</v>
      </c>
      <c r="D7" s="8">
        <v>1686</v>
      </c>
      <c r="E7" s="8">
        <v>43819.14</v>
      </c>
      <c r="F7" s="9">
        <v>25.99</v>
      </c>
      <c r="G7" s="10">
        <v>0.0916316035530622</v>
      </c>
    </row>
    <row r="8" spans="1:7">
      <c r="A8" s="7" t="s">
        <v>59</v>
      </c>
      <c r="B8" s="8">
        <v>27</v>
      </c>
      <c r="C8" s="8">
        <v>647.73</v>
      </c>
      <c r="D8" s="8">
        <v>274</v>
      </c>
      <c r="E8" s="8">
        <v>6573.26</v>
      </c>
      <c r="F8" s="9">
        <v>23.99</v>
      </c>
      <c r="G8" s="10">
        <v>0.0126227208976157</v>
      </c>
    </row>
    <row r="9" spans="1:7">
      <c r="A9" s="7" t="s">
        <v>44</v>
      </c>
      <c r="B9" s="8">
        <v>2085</v>
      </c>
      <c r="C9" s="8">
        <v>75773.8381578947</v>
      </c>
      <c r="D9" s="8">
        <v>20548</v>
      </c>
      <c r="E9" s="8">
        <v>746762.986315789</v>
      </c>
      <c r="F9" s="9">
        <v>36.3423684210526</v>
      </c>
      <c r="G9" s="10">
        <v>0.492674858223062</v>
      </c>
    </row>
    <row r="10" spans="1:7">
      <c r="A10" s="7" t="s">
        <v>23</v>
      </c>
      <c r="B10" s="8">
        <v>136</v>
      </c>
      <c r="C10" s="8">
        <v>3670.64</v>
      </c>
      <c r="D10" s="8">
        <v>3266</v>
      </c>
      <c r="E10" s="8">
        <v>88149.34</v>
      </c>
      <c r="F10" s="9">
        <v>26.99</v>
      </c>
      <c r="G10" s="10">
        <v>0.0321361058601134</v>
      </c>
    </row>
    <row r="11" spans="1:7">
      <c r="A11" s="7" t="s">
        <v>41</v>
      </c>
      <c r="B11" s="8">
        <v>798</v>
      </c>
      <c r="C11" s="8">
        <v>15952.02</v>
      </c>
      <c r="D11" s="8">
        <v>12806</v>
      </c>
      <c r="E11" s="8">
        <v>255991.94</v>
      </c>
      <c r="F11" s="9">
        <v>19.99</v>
      </c>
      <c r="G11" s="10">
        <v>0.188563327032136</v>
      </c>
    </row>
    <row r="12" spans="1:7">
      <c r="A12" s="7" t="s">
        <v>39</v>
      </c>
      <c r="B12" s="8">
        <v>166</v>
      </c>
      <c r="C12" s="8">
        <v>4286.12</v>
      </c>
      <c r="D12" s="8">
        <v>2418</v>
      </c>
      <c r="E12" s="8">
        <v>62432.76</v>
      </c>
      <c r="F12" s="9">
        <v>25.82</v>
      </c>
      <c r="G12" s="10">
        <v>0.0392249527410208</v>
      </c>
    </row>
    <row r="13" spans="1:7">
      <c r="A13" s="7" t="s">
        <v>32</v>
      </c>
      <c r="B13" s="8">
        <v>885</v>
      </c>
      <c r="C13" s="8">
        <v>20346.15</v>
      </c>
      <c r="D13" s="8">
        <v>17733</v>
      </c>
      <c r="E13" s="8">
        <v>407681.67</v>
      </c>
      <c r="F13" s="9">
        <v>22.99</v>
      </c>
      <c r="G13" s="10">
        <v>0.209120982986767</v>
      </c>
    </row>
    <row r="14" spans="1:7">
      <c r="A14" s="7" t="s">
        <v>59</v>
      </c>
      <c r="B14" s="8">
        <v>162</v>
      </c>
      <c r="C14" s="8">
        <v>3724.38</v>
      </c>
      <c r="D14" s="8">
        <v>6925</v>
      </c>
      <c r="E14" s="8">
        <v>159205.75</v>
      </c>
      <c r="F14" s="9">
        <v>22.99</v>
      </c>
      <c r="G14" s="10">
        <v>0.0382797731568998</v>
      </c>
    </row>
    <row r="15" spans="1:7">
      <c r="A15" s="7" t="s">
        <v>69</v>
      </c>
      <c r="B15" s="8">
        <v>0</v>
      </c>
      <c r="C15" s="8">
        <v>0</v>
      </c>
      <c r="D15" s="8">
        <v>0</v>
      </c>
      <c r="E15" s="8">
        <v>0</v>
      </c>
      <c r="F15" s="9">
        <v>132.88</v>
      </c>
      <c r="G15" s="10">
        <v>0</v>
      </c>
    </row>
    <row r="16" spans="1:7">
      <c r="A16" s="7" t="s">
        <v>55</v>
      </c>
      <c r="B16" s="8">
        <v>25559</v>
      </c>
      <c r="C16" s="8">
        <v>819710.703262708</v>
      </c>
      <c r="D16" s="8">
        <v>250627</v>
      </c>
      <c r="E16" s="8">
        <v>8037937.10343217</v>
      </c>
      <c r="F16" s="9">
        <v>32.0713135593219</v>
      </c>
      <c r="G16" s="10">
        <v>1</v>
      </c>
    </row>
    <row r="17" spans="1:7">
      <c r="A17" s="7" t="s">
        <v>24</v>
      </c>
      <c r="B17" s="8">
        <v>354</v>
      </c>
      <c r="C17" s="8">
        <v>4173.66</v>
      </c>
      <c r="D17" s="8">
        <v>1642</v>
      </c>
      <c r="E17" s="8">
        <v>19359.18</v>
      </c>
      <c r="F17" s="9">
        <v>11.79</v>
      </c>
      <c r="G17" s="10">
        <v>0.266165413533835</v>
      </c>
    </row>
    <row r="18" spans="1:7">
      <c r="A18" s="7" t="s">
        <v>24</v>
      </c>
      <c r="B18" s="8">
        <v>976</v>
      </c>
      <c r="C18" s="8">
        <v>12759.5733333333</v>
      </c>
      <c r="D18" s="8">
        <v>4125</v>
      </c>
      <c r="E18" s="8">
        <v>53927.5</v>
      </c>
      <c r="F18" s="9">
        <v>13.0733333333333</v>
      </c>
      <c r="G18" s="10">
        <v>0.733834586466165</v>
      </c>
    </row>
    <row r="19" spans="1:7">
      <c r="A19" s="7" t="s">
        <v>49</v>
      </c>
      <c r="B19" s="8">
        <v>17617</v>
      </c>
      <c r="C19" s="8">
        <v>214342.835909091</v>
      </c>
      <c r="D19" s="8">
        <v>170893</v>
      </c>
      <c r="E19" s="8">
        <v>2079224.05954545</v>
      </c>
      <c r="F19" s="9">
        <v>12.1668181818182</v>
      </c>
      <c r="G19" s="10">
        <v>0.150040454797087</v>
      </c>
    </row>
    <row r="20" spans="1:7">
      <c r="A20" s="7" t="s">
        <v>36</v>
      </c>
      <c r="B20" s="8">
        <v>30400</v>
      </c>
      <c r="C20" s="8">
        <v>257043.692307692</v>
      </c>
      <c r="D20" s="8">
        <v>459103</v>
      </c>
      <c r="E20" s="8">
        <v>3881892.44307692</v>
      </c>
      <c r="F20" s="9">
        <v>8.45538461538461</v>
      </c>
      <c r="G20" s="10">
        <v>0.25891070135843</v>
      </c>
    </row>
    <row r="21" spans="1:7">
      <c r="A21" s="7" t="s">
        <v>57</v>
      </c>
      <c r="B21" s="8">
        <v>38537</v>
      </c>
      <c r="C21" s="8">
        <v>773345.835238095</v>
      </c>
      <c r="D21" s="8">
        <v>312654</v>
      </c>
      <c r="E21" s="8">
        <v>6274221.36571429</v>
      </c>
      <c r="F21" s="9">
        <v>20.067619047619</v>
      </c>
      <c r="G21" s="10">
        <v>0.328211897968743</v>
      </c>
    </row>
    <row r="22" spans="1:7">
      <c r="A22" s="7" t="s">
        <v>31</v>
      </c>
      <c r="B22" s="8">
        <v>5885</v>
      </c>
      <c r="C22" s="8">
        <v>214939.816666667</v>
      </c>
      <c r="D22" s="8">
        <v>52536</v>
      </c>
      <c r="E22" s="8">
        <v>1918789.84</v>
      </c>
      <c r="F22" s="9">
        <v>36.5233333333333</v>
      </c>
      <c r="G22" s="10">
        <v>0.0501213643912618</v>
      </c>
    </row>
    <row r="23" spans="1:7">
      <c r="A23" s="7" t="s">
        <v>34</v>
      </c>
      <c r="B23" s="8">
        <v>200</v>
      </c>
      <c r="C23" s="8">
        <v>2326</v>
      </c>
      <c r="D23" s="8">
        <v>953</v>
      </c>
      <c r="E23" s="8">
        <v>11083.39</v>
      </c>
      <c r="F23" s="9">
        <v>11.63</v>
      </c>
      <c r="G23" s="10">
        <v>0.00170335987735809</v>
      </c>
    </row>
    <row r="24" spans="1:7">
      <c r="A24" s="7" t="s">
        <v>27</v>
      </c>
      <c r="B24" s="8">
        <v>6970</v>
      </c>
      <c r="C24" s="8">
        <v>50065.1</v>
      </c>
      <c r="D24" s="8">
        <v>61511</v>
      </c>
      <c r="E24" s="8">
        <v>441829.894705882</v>
      </c>
      <c r="F24" s="9">
        <v>7.18294117647059</v>
      </c>
      <c r="G24" s="10">
        <v>0.0593620917259294</v>
      </c>
    </row>
    <row r="25" spans="1:7">
      <c r="A25" s="7" t="s">
        <v>60</v>
      </c>
      <c r="B25" s="8">
        <v>1514</v>
      </c>
      <c r="C25" s="8">
        <v>6308.33333333333</v>
      </c>
      <c r="D25" s="8">
        <v>18131</v>
      </c>
      <c r="E25" s="8">
        <v>75545.8333333333</v>
      </c>
      <c r="F25" s="9">
        <v>4.16666666666667</v>
      </c>
      <c r="G25" s="10">
        <v>0.0128944342716007</v>
      </c>
    </row>
    <row r="26" spans="1:7">
      <c r="A26" s="7" t="s">
        <v>29</v>
      </c>
      <c r="B26" s="8">
        <v>1527</v>
      </c>
      <c r="C26" s="8">
        <v>11040.21</v>
      </c>
      <c r="D26" s="8">
        <v>13676</v>
      </c>
      <c r="E26" s="8">
        <v>98877.48</v>
      </c>
      <c r="F26" s="9">
        <v>7.23</v>
      </c>
      <c r="G26" s="10">
        <v>0.013005152663629</v>
      </c>
    </row>
    <row r="27" spans="1:7">
      <c r="A27" s="7" t="s">
        <v>46</v>
      </c>
      <c r="B27" s="8">
        <v>6711</v>
      </c>
      <c r="C27" s="8">
        <v>96411.90375</v>
      </c>
      <c r="D27" s="8">
        <v>81363</v>
      </c>
      <c r="E27" s="8">
        <v>1168881.19875</v>
      </c>
      <c r="F27" s="9">
        <v>14.36625</v>
      </c>
      <c r="G27" s="10">
        <v>0.0571562406847507</v>
      </c>
    </row>
    <row r="28" spans="1:7">
      <c r="A28" s="7" t="s">
        <v>51</v>
      </c>
      <c r="B28" s="8">
        <v>1049</v>
      </c>
      <c r="C28" s="8">
        <v>10332.65</v>
      </c>
      <c r="D28" s="8">
        <v>11209</v>
      </c>
      <c r="E28" s="8">
        <v>110408.65</v>
      </c>
      <c r="F28" s="9">
        <v>9.85</v>
      </c>
      <c r="G28" s="10">
        <v>0.00893412255674318</v>
      </c>
    </row>
    <row r="29" spans="1:7">
      <c r="A29" s="7" t="s">
        <v>58</v>
      </c>
      <c r="B29" s="8">
        <v>4516</v>
      </c>
      <c r="C29" s="8">
        <v>25967</v>
      </c>
      <c r="D29" s="8">
        <v>72868</v>
      </c>
      <c r="E29" s="8">
        <v>418991</v>
      </c>
      <c r="F29" s="9">
        <v>5.75</v>
      </c>
      <c r="G29" s="10">
        <v>0.0384618660307456</v>
      </c>
    </row>
    <row r="30" spans="1:7">
      <c r="A30" s="7" t="s">
        <v>35</v>
      </c>
      <c r="B30" s="8">
        <v>417</v>
      </c>
      <c r="C30" s="8">
        <v>8335.83</v>
      </c>
      <c r="D30" s="8">
        <v>5183</v>
      </c>
      <c r="E30" s="8">
        <v>103608.17</v>
      </c>
      <c r="F30" s="9">
        <v>19.99</v>
      </c>
      <c r="G30" s="10">
        <v>0.00355150534429162</v>
      </c>
    </row>
    <row r="31" spans="1:7">
      <c r="A31" s="7" t="s">
        <v>38</v>
      </c>
      <c r="B31" s="8">
        <v>509</v>
      </c>
      <c r="C31" s="8">
        <v>7675.72</v>
      </c>
      <c r="D31" s="8">
        <v>8431</v>
      </c>
      <c r="E31" s="8">
        <v>127139.48</v>
      </c>
      <c r="F31" s="9">
        <v>15.08</v>
      </c>
      <c r="G31" s="10">
        <v>0.00433505088787634</v>
      </c>
    </row>
    <row r="32" spans="1:7">
      <c r="A32" s="7" t="s">
        <v>50</v>
      </c>
      <c r="B32" s="8">
        <v>148</v>
      </c>
      <c r="C32" s="8">
        <v>4113.32363636364</v>
      </c>
      <c r="D32" s="8">
        <v>619</v>
      </c>
      <c r="E32" s="8">
        <v>17203.6981818182</v>
      </c>
      <c r="F32" s="9">
        <v>27.7927272727273</v>
      </c>
      <c r="G32" s="10">
        <v>0.00126048630924499</v>
      </c>
    </row>
    <row r="33" spans="1:7">
      <c r="A33" s="7" t="s">
        <v>53</v>
      </c>
      <c r="B33" s="8">
        <v>107</v>
      </c>
      <c r="C33" s="8">
        <v>1051.64355555556</v>
      </c>
      <c r="D33" s="8">
        <v>336</v>
      </c>
      <c r="E33" s="8">
        <v>3302.35733333333</v>
      </c>
      <c r="F33" s="9">
        <v>9.82844444444444</v>
      </c>
      <c r="G33" s="10">
        <v>0.000911297534386578</v>
      </c>
    </row>
    <row r="34" spans="1:7">
      <c r="A34" s="7" t="s">
        <v>33</v>
      </c>
      <c r="B34" s="8">
        <v>1105</v>
      </c>
      <c r="C34" s="8">
        <v>19337.5</v>
      </c>
      <c r="D34" s="8">
        <v>10244</v>
      </c>
      <c r="E34" s="8">
        <v>179270</v>
      </c>
      <c r="F34" s="9">
        <v>17.5</v>
      </c>
      <c r="G34" s="10">
        <v>0.00941106332240344</v>
      </c>
    </row>
    <row r="35" spans="1:7">
      <c r="A35" s="7" t="s">
        <v>30</v>
      </c>
      <c r="B35" s="8">
        <v>191</v>
      </c>
      <c r="C35" s="8">
        <v>4508.23666666667</v>
      </c>
      <c r="D35" s="8">
        <v>1619</v>
      </c>
      <c r="E35" s="8">
        <v>38213.7966666667</v>
      </c>
      <c r="F35" s="9">
        <v>23.6033333333333</v>
      </c>
      <c r="G35" s="10">
        <v>0.00162670868287697</v>
      </c>
    </row>
    <row r="36" spans="1:7">
      <c r="A36" s="7" t="s">
        <v>43</v>
      </c>
      <c r="B36" s="8">
        <v>0</v>
      </c>
      <c r="C36" s="8">
        <v>0</v>
      </c>
      <c r="D36" s="8">
        <v>7</v>
      </c>
      <c r="E36" s="8">
        <v>86.45</v>
      </c>
      <c r="F36" s="9">
        <v>12.35</v>
      </c>
      <c r="G36" s="10">
        <v>0</v>
      </c>
    </row>
    <row r="37" spans="1:7">
      <c r="A37" s="7" t="s">
        <v>47</v>
      </c>
      <c r="B37" s="8">
        <v>5</v>
      </c>
      <c r="C37" s="8">
        <v>82.7461538461539</v>
      </c>
      <c r="D37" s="8">
        <v>74</v>
      </c>
      <c r="E37" s="8">
        <v>1224.64307692308</v>
      </c>
      <c r="F37" s="9">
        <v>16.5492307692308</v>
      </c>
      <c r="G37" s="10">
        <v>4.25839969339522e-5</v>
      </c>
    </row>
    <row r="38" spans="1:7">
      <c r="A38" s="7" t="s">
        <v>52</v>
      </c>
      <c r="B38" s="8">
        <v>7</v>
      </c>
      <c r="C38" s="8">
        <v>98.875</v>
      </c>
      <c r="D38" s="8">
        <v>68</v>
      </c>
      <c r="E38" s="8">
        <v>960.5</v>
      </c>
      <c r="F38" s="9">
        <v>14.125</v>
      </c>
      <c r="G38" s="10">
        <v>5.96175957075331e-5</v>
      </c>
    </row>
    <row r="39" spans="1:7">
      <c r="A39" s="7" t="s">
        <v>48</v>
      </c>
      <c r="B39" s="8">
        <v>0</v>
      </c>
      <c r="C39" s="8">
        <v>0</v>
      </c>
      <c r="D39" s="8">
        <v>0</v>
      </c>
      <c r="E39" s="8">
        <v>0</v>
      </c>
      <c r="F39" s="9">
        <v>15.95</v>
      </c>
      <c r="G39" s="10">
        <v>0</v>
      </c>
    </row>
    <row r="40" spans="1:7">
      <c r="A40" s="7" t="s">
        <v>54</v>
      </c>
      <c r="B40" s="8">
        <v>0</v>
      </c>
      <c r="C40" s="8">
        <v>0</v>
      </c>
      <c r="D40" s="8">
        <v>0</v>
      </c>
      <c r="E40" s="8">
        <v>0</v>
      </c>
      <c r="F40" s="9">
        <v>72.09</v>
      </c>
      <c r="G40" s="10">
        <v>0</v>
      </c>
    </row>
    <row r="41" spans="1:7">
      <c r="A41" s="7" t="s">
        <v>26</v>
      </c>
      <c r="B41" s="8">
        <v>0</v>
      </c>
      <c r="C41" s="8">
        <v>0</v>
      </c>
      <c r="D41" s="8">
        <v>0</v>
      </c>
      <c r="E41" s="8">
        <v>0</v>
      </c>
      <c r="F41" s="9">
        <v>17.8875</v>
      </c>
      <c r="G41" s="10">
        <v>0</v>
      </c>
    </row>
    <row r="42" spans="1:7">
      <c r="A42" s="7" t="s">
        <v>42</v>
      </c>
      <c r="B42" s="8">
        <v>2461</v>
      </c>
      <c r="C42" s="8">
        <v>62269.4525</v>
      </c>
      <c r="D42" s="8">
        <v>7999</v>
      </c>
      <c r="E42" s="8">
        <v>202394.6975</v>
      </c>
      <c r="F42" s="9">
        <v>25.3025</v>
      </c>
      <c r="G42" s="10">
        <v>1</v>
      </c>
    </row>
    <row r="43" spans="1:7">
      <c r="A43" s="7" t="s">
        <v>45</v>
      </c>
      <c r="B43" s="8">
        <v>636</v>
      </c>
      <c r="C43" s="8">
        <v>24718.14</v>
      </c>
      <c r="D43" s="8">
        <v>2130</v>
      </c>
      <c r="E43" s="8">
        <v>82782.45</v>
      </c>
      <c r="F43" s="9">
        <v>38.865</v>
      </c>
      <c r="G43" s="10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F19" sqref="F19"/>
    </sheetView>
  </sheetViews>
  <sheetFormatPr defaultColWidth="8.88888888888889" defaultRowHeight="14.4" outlineLevelRow="3" outlineLevelCol="6"/>
  <cols>
    <col min="1" max="1" width="14.1111111111111"/>
    <col min="2" max="3" width="15.2222222222222"/>
    <col min="4" max="4" width="14.1111111111111"/>
    <col min="5" max="5" width="17.5555555555556"/>
    <col min="6" max="6" width="15.2222222222222"/>
    <col min="7" max="7" width="13"/>
  </cols>
  <sheetData>
    <row r="1" spans="1:7">
      <c r="A1" s="1" t="s">
        <v>45</v>
      </c>
      <c r="B1" s="1" t="s">
        <v>42</v>
      </c>
      <c r="C1" s="1" t="s">
        <v>38</v>
      </c>
      <c r="D1" s="1" t="s">
        <v>24</v>
      </c>
      <c r="E1" s="1" t="s">
        <v>55</v>
      </c>
      <c r="F1" s="1" t="s">
        <v>44</v>
      </c>
      <c r="G1" s="1" t="s">
        <v>70</v>
      </c>
    </row>
    <row r="2" spans="1:7">
      <c r="A2" s="2">
        <f>_xlfn.XLOOKUP(A1,Sheet1!$E:$E,Sheet1!$F:$F)</f>
        <v>82782.45</v>
      </c>
      <c r="B2" s="2">
        <f>_xlfn.XLOOKUP(B1,Sheet1!$E:$E,Sheet1!$F:$F)</f>
        <v>202394.6975</v>
      </c>
      <c r="C2" s="2">
        <f>_xlfn.XLOOKUP(C1,Sheet1!$E:$E,Sheet1!$F:$F)</f>
        <v>127139.48</v>
      </c>
      <c r="D2" s="2">
        <f>_xlfn.XLOOKUP(D1,Sheet1!$E:$E,Sheet1!$F:$F)</f>
        <v>73286.68</v>
      </c>
      <c r="E2" s="2">
        <f>_xlfn.XLOOKUP(E1,Sheet1!$E:$E,Sheet1!$F:$F)</f>
        <v>8037937.10343217</v>
      </c>
      <c r="F2" s="2">
        <f>_xlfn.XLOOKUP(F1,Sheet1!$E:$E,Sheet1!$F:$F)</f>
        <v>746762.986315789</v>
      </c>
      <c r="G2" s="2">
        <f>_xlfn.XLOOKUP(G1,Sheet1!$E:$E,Sheet1!$F:$F)</f>
        <v>7429.64582677161</v>
      </c>
    </row>
    <row r="3" spans="1:7">
      <c r="A3">
        <f>_xlfn.XLOOKUP(A1,[1]Sheet2!$A:$A,[1]Sheet2!$B:$B)</f>
        <v>99644.6082352941</v>
      </c>
      <c r="B3">
        <f>_xlfn.XLOOKUP(B1,[1]Sheet2!$A:$A,[1]Sheet2!$B:$B)</f>
        <v>5294368.41142857</v>
      </c>
      <c r="C3">
        <f>_xlfn.XLOOKUP(C1,[1]Sheet2!$A:$A,[1]Sheet2!$B:$B)</f>
        <v>978042.581263158</v>
      </c>
      <c r="D3">
        <f>_xlfn.XLOOKUP(D1,[1]Sheet2!$A:$A,[1]Sheet2!$B:$B)</f>
        <v>120162.67</v>
      </c>
      <c r="E3">
        <f>_xlfn.XLOOKUP(E1,[1]Sheet2!$A:$A,[1]Sheet2!$B:$B)</f>
        <v>4456572.30836364</v>
      </c>
      <c r="F3">
        <f>_xlfn.XLOOKUP(F1,[1]Sheet2!$A:$A,[1]Sheet2!$B:$B)</f>
        <v>253277.275833333</v>
      </c>
      <c r="G3">
        <f>_xlfn.XLOOKUP(G1,[1]Sheet2!$A:$A,[1]Sheet2!$B:$B)</f>
        <v>5301.89042553192</v>
      </c>
    </row>
    <row r="4" spans="1:7">
      <c r="A4" s="2">
        <f>SUM(A2:A3)</f>
        <v>182427.058235294</v>
      </c>
      <c r="B4" s="2">
        <f t="shared" ref="B4:G4" si="0">SUM(B2:B3)</f>
        <v>5496763.10892857</v>
      </c>
      <c r="C4" s="2">
        <f t="shared" si="0"/>
        <v>1105182.06126316</v>
      </c>
      <c r="D4" s="2">
        <f t="shared" si="0"/>
        <v>193449.35</v>
      </c>
      <c r="E4" s="2">
        <f t="shared" si="0"/>
        <v>12494509.4117958</v>
      </c>
      <c r="F4" s="2">
        <f t="shared" si="0"/>
        <v>1000040.26214912</v>
      </c>
      <c r="G4" s="2">
        <f t="shared" si="0"/>
        <v>12731.5362523035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报告</vt:lpstr>
      <vt:lpstr>Sheet1</vt:lpstr>
      <vt:lpstr>总表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OCD</cp:lastModifiedBy>
  <dcterms:created xsi:type="dcterms:W3CDTF">2026-01-23T04:25:38Z</dcterms:created>
  <dcterms:modified xsi:type="dcterms:W3CDTF">2026-01-23T10:10:29Z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B488D6C03C74494D87DC69FB0DD1A786_11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